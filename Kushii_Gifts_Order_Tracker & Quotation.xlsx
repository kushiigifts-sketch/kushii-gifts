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Kushii-Gifts\"/>
    </mc:Choice>
  </mc:AlternateContent>
  <xr:revisionPtr revIDLastSave="0" documentId="13_ncr:2001_{93152180-670E-4113-8983-CC2788E61A57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How to use" sheetId="1" r:id="rId1"/>
    <sheet name="Orders" sheetId="2" r:id="rId2"/>
    <sheet name="Quote Calculator" sheetId="3" r:id="rId3"/>
    <sheet name="Review" sheetId="4" r:id="rId4"/>
    <sheet name="Discount Slabs" sheetId="5" r:id="rId5"/>
    <sheet name="Products" sheetId="6" r:id="rId6"/>
  </sheets>
  <definedNames>
    <definedName name="_xlnm._FilterDatabase" localSheetId="1" hidden="1">Orders!$A$4:$AB$504</definedName>
    <definedName name="_xlnm._FilterDatabase" localSheetId="5" hidden="1">Products!$A$4:$J$108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8" i="6" l="1"/>
  <c r="I108" i="6"/>
  <c r="H108" i="6"/>
  <c r="G108" i="6"/>
  <c r="J107" i="6"/>
  <c r="I107" i="6"/>
  <c r="H107" i="6"/>
  <c r="G107" i="6"/>
  <c r="J106" i="6"/>
  <c r="I106" i="6"/>
  <c r="H106" i="6"/>
  <c r="G106" i="6"/>
  <c r="J105" i="6"/>
  <c r="I105" i="6"/>
  <c r="H105" i="6"/>
  <c r="G105" i="6"/>
  <c r="J104" i="6"/>
  <c r="I104" i="6"/>
  <c r="H104" i="6"/>
  <c r="G104" i="6"/>
  <c r="J103" i="6"/>
  <c r="I103" i="6"/>
  <c r="H103" i="6"/>
  <c r="G103" i="6"/>
  <c r="J102" i="6"/>
  <c r="I102" i="6"/>
  <c r="H102" i="6"/>
  <c r="G102" i="6"/>
  <c r="J101" i="6"/>
  <c r="I101" i="6"/>
  <c r="H101" i="6"/>
  <c r="G101" i="6"/>
  <c r="J100" i="6"/>
  <c r="I100" i="6"/>
  <c r="H100" i="6"/>
  <c r="G100" i="6"/>
  <c r="J99" i="6"/>
  <c r="I99" i="6"/>
  <c r="H99" i="6"/>
  <c r="G99" i="6"/>
  <c r="J98" i="6"/>
  <c r="I98" i="6"/>
  <c r="H98" i="6"/>
  <c r="G98" i="6"/>
  <c r="J97" i="6"/>
  <c r="I97" i="6"/>
  <c r="H97" i="6"/>
  <c r="G97" i="6"/>
  <c r="J96" i="6"/>
  <c r="I96" i="6"/>
  <c r="H96" i="6"/>
  <c r="G96" i="6"/>
  <c r="J95" i="6"/>
  <c r="I95" i="6"/>
  <c r="H95" i="6"/>
  <c r="G95" i="6"/>
  <c r="J94" i="6"/>
  <c r="I94" i="6"/>
  <c r="H94" i="6"/>
  <c r="G94" i="6"/>
  <c r="J93" i="6"/>
  <c r="I93" i="6"/>
  <c r="H93" i="6"/>
  <c r="G93" i="6"/>
  <c r="J92" i="6"/>
  <c r="I92" i="6"/>
  <c r="H92" i="6"/>
  <c r="G92" i="6"/>
  <c r="J91" i="6"/>
  <c r="I91" i="6"/>
  <c r="H91" i="6"/>
  <c r="G91" i="6"/>
  <c r="J90" i="6"/>
  <c r="I90" i="6"/>
  <c r="H90" i="6"/>
  <c r="G90" i="6"/>
  <c r="J89" i="6"/>
  <c r="I89" i="6"/>
  <c r="H89" i="6"/>
  <c r="G89" i="6"/>
  <c r="J88" i="6"/>
  <c r="I88" i="6"/>
  <c r="H88" i="6"/>
  <c r="G88" i="6"/>
  <c r="J87" i="6"/>
  <c r="I87" i="6"/>
  <c r="H87" i="6"/>
  <c r="G87" i="6"/>
  <c r="J86" i="6"/>
  <c r="I86" i="6"/>
  <c r="H86" i="6"/>
  <c r="G86" i="6"/>
  <c r="J85" i="6"/>
  <c r="I85" i="6"/>
  <c r="H85" i="6"/>
  <c r="G85" i="6"/>
  <c r="J84" i="6"/>
  <c r="I84" i="6"/>
  <c r="H84" i="6"/>
  <c r="G84" i="6"/>
  <c r="J83" i="6"/>
  <c r="I83" i="6"/>
  <c r="H83" i="6"/>
  <c r="G83" i="6"/>
  <c r="K12" i="2"/>
  <c r="J82" i="6"/>
  <c r="I82" i="6"/>
  <c r="H82" i="6"/>
  <c r="G82" i="6"/>
  <c r="J81" i="6"/>
  <c r="I81" i="6"/>
  <c r="H81" i="6"/>
  <c r="G81" i="6"/>
  <c r="J80" i="6"/>
  <c r="I80" i="6"/>
  <c r="H80" i="6"/>
  <c r="G80" i="6"/>
  <c r="J79" i="6"/>
  <c r="I79" i="6"/>
  <c r="H79" i="6"/>
  <c r="G79" i="6"/>
  <c r="J78" i="6"/>
  <c r="I78" i="6"/>
  <c r="H78" i="6"/>
  <c r="G78" i="6"/>
  <c r="J77" i="6"/>
  <c r="I77" i="6"/>
  <c r="H77" i="6"/>
  <c r="G77" i="6"/>
  <c r="J76" i="6"/>
  <c r="I76" i="6"/>
  <c r="H76" i="6"/>
  <c r="G76" i="6"/>
  <c r="J75" i="6"/>
  <c r="I75" i="6"/>
  <c r="H75" i="6"/>
  <c r="G75" i="6"/>
  <c r="J74" i="6"/>
  <c r="I74" i="6"/>
  <c r="H74" i="6"/>
  <c r="G74" i="6"/>
  <c r="J73" i="6"/>
  <c r="I73" i="6"/>
  <c r="H73" i="6"/>
  <c r="G73" i="6"/>
  <c r="J72" i="6"/>
  <c r="I72" i="6"/>
  <c r="H72" i="6"/>
  <c r="G72" i="6"/>
  <c r="J71" i="6"/>
  <c r="I71" i="6"/>
  <c r="H71" i="6"/>
  <c r="G71" i="6"/>
  <c r="J70" i="6"/>
  <c r="I70" i="6"/>
  <c r="H70" i="6"/>
  <c r="G70" i="6"/>
  <c r="J69" i="6"/>
  <c r="I69" i="6"/>
  <c r="H69" i="6"/>
  <c r="G69" i="6"/>
  <c r="J68" i="6"/>
  <c r="I68" i="6"/>
  <c r="H68" i="6"/>
  <c r="G68" i="6"/>
  <c r="J67" i="6"/>
  <c r="I67" i="6"/>
  <c r="H67" i="6"/>
  <c r="G67" i="6"/>
  <c r="J66" i="6"/>
  <c r="I66" i="6"/>
  <c r="H66" i="6"/>
  <c r="G66" i="6"/>
  <c r="J65" i="6"/>
  <c r="I65" i="6"/>
  <c r="H65" i="6"/>
  <c r="G65" i="6"/>
  <c r="J64" i="6"/>
  <c r="I64" i="6"/>
  <c r="H64" i="6"/>
  <c r="G64" i="6"/>
  <c r="J63" i="6"/>
  <c r="I63" i="6"/>
  <c r="H63" i="6"/>
  <c r="G63" i="6"/>
  <c r="J62" i="6"/>
  <c r="I62" i="6"/>
  <c r="H62" i="6"/>
  <c r="G62" i="6"/>
  <c r="J61" i="6"/>
  <c r="I61" i="6"/>
  <c r="H61" i="6"/>
  <c r="G61" i="6"/>
  <c r="J60" i="6"/>
  <c r="I60" i="6"/>
  <c r="H60" i="6"/>
  <c r="G60" i="6"/>
  <c r="J59" i="6"/>
  <c r="I59" i="6"/>
  <c r="H59" i="6"/>
  <c r="G59" i="6"/>
  <c r="J58" i="6"/>
  <c r="I58" i="6"/>
  <c r="H58" i="6"/>
  <c r="G58" i="6"/>
  <c r="J57" i="6"/>
  <c r="I57" i="6"/>
  <c r="H57" i="6"/>
  <c r="G57" i="6"/>
  <c r="J56" i="6"/>
  <c r="I56" i="6"/>
  <c r="H56" i="6"/>
  <c r="G56" i="6"/>
  <c r="J55" i="6"/>
  <c r="I55" i="6"/>
  <c r="H55" i="6"/>
  <c r="G55" i="6"/>
  <c r="J54" i="6"/>
  <c r="I54" i="6"/>
  <c r="H54" i="6"/>
  <c r="G54" i="6"/>
  <c r="J53" i="6"/>
  <c r="I53" i="6"/>
  <c r="H53" i="6"/>
  <c r="G53" i="6"/>
  <c r="J52" i="6"/>
  <c r="I52" i="6"/>
  <c r="H52" i="6"/>
  <c r="G52" i="6"/>
  <c r="J51" i="6"/>
  <c r="I51" i="6"/>
  <c r="H51" i="6"/>
  <c r="G51" i="6"/>
  <c r="J50" i="6"/>
  <c r="I50" i="6"/>
  <c r="H50" i="6"/>
  <c r="G50" i="6"/>
  <c r="J49" i="6"/>
  <c r="I49" i="6"/>
  <c r="H49" i="6"/>
  <c r="G49" i="6"/>
  <c r="J48" i="6"/>
  <c r="I48" i="6"/>
  <c r="H48" i="6"/>
  <c r="G48" i="6"/>
  <c r="J47" i="6"/>
  <c r="I47" i="6"/>
  <c r="H47" i="6"/>
  <c r="G47" i="6"/>
  <c r="J46" i="6"/>
  <c r="I46" i="6"/>
  <c r="H46" i="6"/>
  <c r="G46" i="6"/>
  <c r="J45" i="6"/>
  <c r="I45" i="6"/>
  <c r="H45" i="6"/>
  <c r="G45" i="6"/>
  <c r="J44" i="6"/>
  <c r="I44" i="6"/>
  <c r="H44" i="6"/>
  <c r="G44" i="6"/>
  <c r="J43" i="6"/>
  <c r="I43" i="6"/>
  <c r="H43" i="6"/>
  <c r="G43" i="6"/>
  <c r="J42" i="6"/>
  <c r="I42" i="6"/>
  <c r="H42" i="6"/>
  <c r="G42" i="6"/>
  <c r="J41" i="6"/>
  <c r="I41" i="6"/>
  <c r="H41" i="6"/>
  <c r="G41" i="6"/>
  <c r="I40" i="6"/>
  <c r="H40" i="6"/>
  <c r="G40" i="6"/>
  <c r="J39" i="6"/>
  <c r="I39" i="6"/>
  <c r="H39" i="6"/>
  <c r="G39" i="6"/>
  <c r="J38" i="6"/>
  <c r="I38" i="6"/>
  <c r="H38" i="6"/>
  <c r="G38" i="6"/>
  <c r="I37" i="6"/>
  <c r="H37" i="6"/>
  <c r="G37" i="6"/>
  <c r="J36" i="6"/>
  <c r="I36" i="6"/>
  <c r="H36" i="6"/>
  <c r="G36" i="6"/>
  <c r="J35" i="6"/>
  <c r="I35" i="6"/>
  <c r="H35" i="6"/>
  <c r="G35" i="6"/>
  <c r="J34" i="6"/>
  <c r="I34" i="6"/>
  <c r="H34" i="6"/>
  <c r="G34" i="6"/>
  <c r="J33" i="6"/>
  <c r="I33" i="6"/>
  <c r="H33" i="6"/>
  <c r="G33" i="6"/>
  <c r="J32" i="6"/>
  <c r="I32" i="6"/>
  <c r="H32" i="6"/>
  <c r="G32" i="6"/>
  <c r="J31" i="6"/>
  <c r="I31" i="6"/>
  <c r="H31" i="6"/>
  <c r="G31" i="6"/>
  <c r="J30" i="6"/>
  <c r="I30" i="6"/>
  <c r="H30" i="6"/>
  <c r="G30" i="6"/>
  <c r="J29" i="6"/>
  <c r="I29" i="6"/>
  <c r="H29" i="6"/>
  <c r="G29" i="6"/>
  <c r="J28" i="6"/>
  <c r="I28" i="6"/>
  <c r="H28" i="6"/>
  <c r="G28" i="6"/>
  <c r="J27" i="6"/>
  <c r="I27" i="6"/>
  <c r="H27" i="6"/>
  <c r="G27" i="6"/>
  <c r="J26" i="6"/>
  <c r="I26" i="6"/>
  <c r="H26" i="6"/>
  <c r="G26" i="6"/>
  <c r="J25" i="6"/>
  <c r="I25" i="6"/>
  <c r="H25" i="6"/>
  <c r="G25" i="6"/>
  <c r="J24" i="6"/>
  <c r="I24" i="6"/>
  <c r="H24" i="6"/>
  <c r="G24" i="6"/>
  <c r="J23" i="6"/>
  <c r="I23" i="6"/>
  <c r="H23" i="6"/>
  <c r="G23" i="6"/>
  <c r="J22" i="6"/>
  <c r="I22" i="6"/>
  <c r="H22" i="6"/>
  <c r="G22" i="6"/>
  <c r="J21" i="6"/>
  <c r="I21" i="6"/>
  <c r="H21" i="6"/>
  <c r="G21" i="6"/>
  <c r="J20" i="6"/>
  <c r="I20" i="6"/>
  <c r="H20" i="6"/>
  <c r="G20" i="6"/>
  <c r="J19" i="6"/>
  <c r="I19" i="6"/>
  <c r="H19" i="6"/>
  <c r="G19" i="6"/>
  <c r="J18" i="6"/>
  <c r="I18" i="6"/>
  <c r="H18" i="6"/>
  <c r="G18" i="6"/>
  <c r="J17" i="6"/>
  <c r="I17" i="6"/>
  <c r="H17" i="6"/>
  <c r="G17" i="6"/>
  <c r="I16" i="6"/>
  <c r="H16" i="6"/>
  <c r="G16" i="6"/>
  <c r="I15" i="6"/>
  <c r="H15" i="6"/>
  <c r="G15" i="6"/>
  <c r="J14" i="6"/>
  <c r="I14" i="6"/>
  <c r="H14" i="6"/>
  <c r="G14" i="6"/>
  <c r="J13" i="6"/>
  <c r="I13" i="6"/>
  <c r="H13" i="6"/>
  <c r="G13" i="6"/>
  <c r="J12" i="6"/>
  <c r="I12" i="6"/>
  <c r="H12" i="6"/>
  <c r="G12" i="6"/>
  <c r="J11" i="6"/>
  <c r="I11" i="6"/>
  <c r="H11" i="6"/>
  <c r="G11" i="6"/>
  <c r="J10" i="6"/>
  <c r="I10" i="6"/>
  <c r="H10" i="6"/>
  <c r="G10" i="6"/>
  <c r="J9" i="6"/>
  <c r="I9" i="6"/>
  <c r="H9" i="6"/>
  <c r="G9" i="6"/>
  <c r="J8" i="6"/>
  <c r="I8" i="6"/>
  <c r="H8" i="6"/>
  <c r="G8" i="6"/>
  <c r="J7" i="6"/>
  <c r="I7" i="6"/>
  <c r="H7" i="6"/>
  <c r="G7" i="6"/>
  <c r="J6" i="6"/>
  <c r="I6" i="6"/>
  <c r="H6" i="6"/>
  <c r="G6" i="6"/>
  <c r="J5" i="6"/>
  <c r="I5" i="6"/>
  <c r="H5" i="6"/>
  <c r="G5" i="6"/>
  <c r="B55" i="4"/>
  <c r="B54" i="4"/>
  <c r="B53" i="4"/>
  <c r="B52" i="4"/>
  <c r="B51" i="4"/>
  <c r="B50" i="4"/>
  <c r="B47" i="4"/>
  <c r="B46" i="4"/>
  <c r="B45" i="4"/>
  <c r="B44" i="4"/>
  <c r="B43" i="4"/>
  <c r="B42" i="4"/>
  <c r="B41" i="4"/>
  <c r="B40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C28" i="4"/>
  <c r="B28" i="4"/>
  <c r="C25" i="4"/>
  <c r="B25" i="4"/>
  <c r="C24" i="4"/>
  <c r="B24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C14" i="4"/>
  <c r="B14" i="4"/>
  <c r="B5" i="4"/>
  <c r="B6" i="4" s="1"/>
  <c r="B4" i="4"/>
  <c r="F10" i="3"/>
  <c r="E10" i="3"/>
  <c r="D10" i="3"/>
  <c r="B10" i="3"/>
  <c r="D6" i="3"/>
  <c r="B6" i="3"/>
  <c r="W504" i="2"/>
  <c r="P504" i="2"/>
  <c r="N504" i="2"/>
  <c r="M504" i="2"/>
  <c r="K504" i="2"/>
  <c r="W503" i="2"/>
  <c r="P503" i="2"/>
  <c r="N503" i="2"/>
  <c r="M503" i="2"/>
  <c r="K503" i="2"/>
  <c r="W502" i="2"/>
  <c r="P502" i="2"/>
  <c r="N502" i="2"/>
  <c r="M502" i="2"/>
  <c r="K502" i="2"/>
  <c r="W501" i="2"/>
  <c r="P501" i="2"/>
  <c r="N501" i="2"/>
  <c r="M501" i="2"/>
  <c r="K501" i="2"/>
  <c r="W500" i="2"/>
  <c r="P500" i="2"/>
  <c r="N500" i="2"/>
  <c r="M500" i="2"/>
  <c r="K500" i="2"/>
  <c r="W499" i="2"/>
  <c r="P499" i="2"/>
  <c r="N499" i="2"/>
  <c r="M499" i="2"/>
  <c r="K499" i="2"/>
  <c r="W498" i="2"/>
  <c r="P498" i="2"/>
  <c r="N498" i="2"/>
  <c r="M498" i="2"/>
  <c r="K498" i="2"/>
  <c r="W497" i="2"/>
  <c r="P497" i="2"/>
  <c r="N497" i="2"/>
  <c r="M497" i="2"/>
  <c r="K497" i="2"/>
  <c r="W496" i="2"/>
  <c r="P496" i="2"/>
  <c r="N496" i="2"/>
  <c r="M496" i="2"/>
  <c r="K496" i="2"/>
  <c r="W495" i="2"/>
  <c r="P495" i="2"/>
  <c r="N495" i="2"/>
  <c r="M495" i="2"/>
  <c r="K495" i="2"/>
  <c r="W494" i="2"/>
  <c r="P494" i="2"/>
  <c r="N494" i="2"/>
  <c r="M494" i="2"/>
  <c r="K494" i="2"/>
  <c r="W493" i="2"/>
  <c r="P493" i="2"/>
  <c r="N493" i="2"/>
  <c r="M493" i="2"/>
  <c r="K493" i="2"/>
  <c r="W492" i="2"/>
  <c r="P492" i="2"/>
  <c r="N492" i="2"/>
  <c r="M492" i="2"/>
  <c r="K492" i="2"/>
  <c r="W491" i="2"/>
  <c r="P491" i="2"/>
  <c r="N491" i="2"/>
  <c r="M491" i="2"/>
  <c r="K491" i="2"/>
  <c r="W490" i="2"/>
  <c r="P490" i="2"/>
  <c r="N490" i="2"/>
  <c r="M490" i="2"/>
  <c r="K490" i="2"/>
  <c r="W489" i="2"/>
  <c r="P489" i="2"/>
  <c r="N489" i="2"/>
  <c r="M489" i="2"/>
  <c r="K489" i="2"/>
  <c r="W488" i="2"/>
  <c r="P488" i="2"/>
  <c r="N488" i="2"/>
  <c r="M488" i="2"/>
  <c r="K488" i="2"/>
  <c r="W487" i="2"/>
  <c r="B9" i="4" s="1"/>
  <c r="P487" i="2"/>
  <c r="N487" i="2"/>
  <c r="M487" i="2"/>
  <c r="K487" i="2"/>
  <c r="W486" i="2"/>
  <c r="P486" i="2"/>
  <c r="N486" i="2"/>
  <c r="M486" i="2"/>
  <c r="K486" i="2"/>
  <c r="W485" i="2"/>
  <c r="P485" i="2"/>
  <c r="N485" i="2"/>
  <c r="M485" i="2"/>
  <c r="K485" i="2"/>
  <c r="W484" i="2"/>
  <c r="P484" i="2"/>
  <c r="N484" i="2"/>
  <c r="M484" i="2"/>
  <c r="K484" i="2"/>
  <c r="W483" i="2"/>
  <c r="P483" i="2"/>
  <c r="N483" i="2"/>
  <c r="M483" i="2"/>
  <c r="K483" i="2"/>
  <c r="W482" i="2"/>
  <c r="P482" i="2"/>
  <c r="N482" i="2"/>
  <c r="M482" i="2"/>
  <c r="K482" i="2"/>
  <c r="W481" i="2"/>
  <c r="P481" i="2"/>
  <c r="N481" i="2"/>
  <c r="M481" i="2"/>
  <c r="K481" i="2"/>
  <c r="W480" i="2"/>
  <c r="P480" i="2"/>
  <c r="N480" i="2"/>
  <c r="M480" i="2"/>
  <c r="K480" i="2"/>
  <c r="W479" i="2"/>
  <c r="P479" i="2"/>
  <c r="N479" i="2"/>
  <c r="M479" i="2"/>
  <c r="K479" i="2"/>
  <c r="W478" i="2"/>
  <c r="P478" i="2"/>
  <c r="N478" i="2"/>
  <c r="M478" i="2"/>
  <c r="K478" i="2"/>
  <c r="W477" i="2"/>
  <c r="P477" i="2"/>
  <c r="N477" i="2"/>
  <c r="M477" i="2"/>
  <c r="K477" i="2"/>
  <c r="W476" i="2"/>
  <c r="P476" i="2"/>
  <c r="N476" i="2"/>
  <c r="M476" i="2"/>
  <c r="K476" i="2"/>
  <c r="W475" i="2"/>
  <c r="P475" i="2"/>
  <c r="N475" i="2"/>
  <c r="M475" i="2"/>
  <c r="K475" i="2"/>
  <c r="W474" i="2"/>
  <c r="P474" i="2"/>
  <c r="N474" i="2"/>
  <c r="M474" i="2"/>
  <c r="K474" i="2"/>
  <c r="W473" i="2"/>
  <c r="P473" i="2"/>
  <c r="N473" i="2"/>
  <c r="M473" i="2"/>
  <c r="K473" i="2"/>
  <c r="W472" i="2"/>
  <c r="P472" i="2"/>
  <c r="N472" i="2"/>
  <c r="M472" i="2"/>
  <c r="K472" i="2"/>
  <c r="W471" i="2"/>
  <c r="P471" i="2"/>
  <c r="N471" i="2"/>
  <c r="M471" i="2"/>
  <c r="K471" i="2"/>
  <c r="W470" i="2"/>
  <c r="P470" i="2"/>
  <c r="N470" i="2"/>
  <c r="M470" i="2"/>
  <c r="K470" i="2"/>
  <c r="W469" i="2"/>
  <c r="P469" i="2"/>
  <c r="N469" i="2"/>
  <c r="M469" i="2"/>
  <c r="K469" i="2"/>
  <c r="W468" i="2"/>
  <c r="P468" i="2"/>
  <c r="N468" i="2"/>
  <c r="M468" i="2"/>
  <c r="K468" i="2"/>
  <c r="W467" i="2"/>
  <c r="P467" i="2"/>
  <c r="N467" i="2"/>
  <c r="M467" i="2"/>
  <c r="K467" i="2"/>
  <c r="W466" i="2"/>
  <c r="P466" i="2"/>
  <c r="N466" i="2"/>
  <c r="M466" i="2"/>
  <c r="K466" i="2"/>
  <c r="W465" i="2"/>
  <c r="P465" i="2"/>
  <c r="N465" i="2"/>
  <c r="M465" i="2"/>
  <c r="K465" i="2"/>
  <c r="W464" i="2"/>
  <c r="P464" i="2"/>
  <c r="N464" i="2"/>
  <c r="M464" i="2"/>
  <c r="K464" i="2"/>
  <c r="W463" i="2"/>
  <c r="P463" i="2"/>
  <c r="N463" i="2"/>
  <c r="M463" i="2"/>
  <c r="K463" i="2"/>
  <c r="W462" i="2"/>
  <c r="P462" i="2"/>
  <c r="N462" i="2"/>
  <c r="M462" i="2"/>
  <c r="K462" i="2"/>
  <c r="W461" i="2"/>
  <c r="P461" i="2"/>
  <c r="N461" i="2"/>
  <c r="M461" i="2"/>
  <c r="K461" i="2"/>
  <c r="W460" i="2"/>
  <c r="P460" i="2"/>
  <c r="N460" i="2"/>
  <c r="M460" i="2"/>
  <c r="K460" i="2"/>
  <c r="W459" i="2"/>
  <c r="P459" i="2"/>
  <c r="N459" i="2"/>
  <c r="M459" i="2"/>
  <c r="K459" i="2"/>
  <c r="W458" i="2"/>
  <c r="P458" i="2"/>
  <c r="N458" i="2"/>
  <c r="M458" i="2"/>
  <c r="K458" i="2"/>
  <c r="W457" i="2"/>
  <c r="P457" i="2"/>
  <c r="N457" i="2"/>
  <c r="M457" i="2"/>
  <c r="K457" i="2"/>
  <c r="W456" i="2"/>
  <c r="P456" i="2"/>
  <c r="N456" i="2"/>
  <c r="M456" i="2"/>
  <c r="K456" i="2"/>
  <c r="W455" i="2"/>
  <c r="P455" i="2"/>
  <c r="N455" i="2"/>
  <c r="M455" i="2"/>
  <c r="K455" i="2"/>
  <c r="W454" i="2"/>
  <c r="P454" i="2"/>
  <c r="N454" i="2"/>
  <c r="M454" i="2"/>
  <c r="K454" i="2"/>
  <c r="W453" i="2"/>
  <c r="P453" i="2"/>
  <c r="N453" i="2"/>
  <c r="M453" i="2"/>
  <c r="K453" i="2"/>
  <c r="W452" i="2"/>
  <c r="P452" i="2"/>
  <c r="N452" i="2"/>
  <c r="M452" i="2"/>
  <c r="K452" i="2"/>
  <c r="W451" i="2"/>
  <c r="P451" i="2"/>
  <c r="N451" i="2"/>
  <c r="M451" i="2"/>
  <c r="K451" i="2"/>
  <c r="W450" i="2"/>
  <c r="P450" i="2"/>
  <c r="N450" i="2"/>
  <c r="M450" i="2"/>
  <c r="K450" i="2"/>
  <c r="W449" i="2"/>
  <c r="P449" i="2"/>
  <c r="N449" i="2"/>
  <c r="M449" i="2"/>
  <c r="K449" i="2"/>
  <c r="W448" i="2"/>
  <c r="P448" i="2"/>
  <c r="N448" i="2"/>
  <c r="M448" i="2"/>
  <c r="K448" i="2"/>
  <c r="W447" i="2"/>
  <c r="P447" i="2"/>
  <c r="N447" i="2"/>
  <c r="M447" i="2"/>
  <c r="K447" i="2"/>
  <c r="W446" i="2"/>
  <c r="P446" i="2"/>
  <c r="N446" i="2"/>
  <c r="M446" i="2"/>
  <c r="K446" i="2"/>
  <c r="W445" i="2"/>
  <c r="P445" i="2"/>
  <c r="N445" i="2"/>
  <c r="M445" i="2"/>
  <c r="K445" i="2"/>
  <c r="W444" i="2"/>
  <c r="P444" i="2"/>
  <c r="N444" i="2"/>
  <c r="M444" i="2"/>
  <c r="K444" i="2"/>
  <c r="W443" i="2"/>
  <c r="P443" i="2"/>
  <c r="N443" i="2"/>
  <c r="M443" i="2"/>
  <c r="K443" i="2"/>
  <c r="W442" i="2"/>
  <c r="P442" i="2"/>
  <c r="N442" i="2"/>
  <c r="M442" i="2"/>
  <c r="K442" i="2"/>
  <c r="W441" i="2"/>
  <c r="P441" i="2"/>
  <c r="N441" i="2"/>
  <c r="M441" i="2"/>
  <c r="K441" i="2"/>
  <c r="W440" i="2"/>
  <c r="P440" i="2"/>
  <c r="N440" i="2"/>
  <c r="M440" i="2"/>
  <c r="K440" i="2"/>
  <c r="W439" i="2"/>
  <c r="P439" i="2"/>
  <c r="N439" i="2"/>
  <c r="M439" i="2"/>
  <c r="K439" i="2"/>
  <c r="W438" i="2"/>
  <c r="P438" i="2"/>
  <c r="N438" i="2"/>
  <c r="M438" i="2"/>
  <c r="K438" i="2"/>
  <c r="W437" i="2"/>
  <c r="P437" i="2"/>
  <c r="N437" i="2"/>
  <c r="M437" i="2"/>
  <c r="K437" i="2"/>
  <c r="W436" i="2"/>
  <c r="P436" i="2"/>
  <c r="N436" i="2"/>
  <c r="M436" i="2"/>
  <c r="K436" i="2"/>
  <c r="W435" i="2"/>
  <c r="P435" i="2"/>
  <c r="N435" i="2"/>
  <c r="M435" i="2"/>
  <c r="K435" i="2"/>
  <c r="W434" i="2"/>
  <c r="P434" i="2"/>
  <c r="N434" i="2"/>
  <c r="M434" i="2"/>
  <c r="K434" i="2"/>
  <c r="W433" i="2"/>
  <c r="P433" i="2"/>
  <c r="N433" i="2"/>
  <c r="M433" i="2"/>
  <c r="K433" i="2"/>
  <c r="W432" i="2"/>
  <c r="P432" i="2"/>
  <c r="N432" i="2"/>
  <c r="M432" i="2"/>
  <c r="K432" i="2"/>
  <c r="W431" i="2"/>
  <c r="P431" i="2"/>
  <c r="N431" i="2"/>
  <c r="M431" i="2"/>
  <c r="K431" i="2"/>
  <c r="W430" i="2"/>
  <c r="P430" i="2"/>
  <c r="N430" i="2"/>
  <c r="M430" i="2"/>
  <c r="K430" i="2"/>
  <c r="W429" i="2"/>
  <c r="P429" i="2"/>
  <c r="N429" i="2"/>
  <c r="M429" i="2"/>
  <c r="K429" i="2"/>
  <c r="W428" i="2"/>
  <c r="P428" i="2"/>
  <c r="N428" i="2"/>
  <c r="M428" i="2"/>
  <c r="K428" i="2"/>
  <c r="W427" i="2"/>
  <c r="P427" i="2"/>
  <c r="N427" i="2"/>
  <c r="M427" i="2"/>
  <c r="K427" i="2"/>
  <c r="W426" i="2"/>
  <c r="P426" i="2"/>
  <c r="N426" i="2"/>
  <c r="M426" i="2"/>
  <c r="K426" i="2"/>
  <c r="W425" i="2"/>
  <c r="P425" i="2"/>
  <c r="N425" i="2"/>
  <c r="M425" i="2"/>
  <c r="K425" i="2"/>
  <c r="W424" i="2"/>
  <c r="P424" i="2"/>
  <c r="N424" i="2"/>
  <c r="M424" i="2"/>
  <c r="K424" i="2"/>
  <c r="W423" i="2"/>
  <c r="P423" i="2"/>
  <c r="N423" i="2"/>
  <c r="M423" i="2"/>
  <c r="K423" i="2"/>
  <c r="W422" i="2"/>
  <c r="P422" i="2"/>
  <c r="N422" i="2"/>
  <c r="M422" i="2"/>
  <c r="K422" i="2"/>
  <c r="W421" i="2"/>
  <c r="P421" i="2"/>
  <c r="N421" i="2"/>
  <c r="M421" i="2"/>
  <c r="K421" i="2"/>
  <c r="W420" i="2"/>
  <c r="P420" i="2"/>
  <c r="N420" i="2"/>
  <c r="M420" i="2"/>
  <c r="K420" i="2"/>
  <c r="W419" i="2"/>
  <c r="P419" i="2"/>
  <c r="N419" i="2"/>
  <c r="M419" i="2"/>
  <c r="K419" i="2"/>
  <c r="W418" i="2"/>
  <c r="P418" i="2"/>
  <c r="N418" i="2"/>
  <c r="M418" i="2"/>
  <c r="K418" i="2"/>
  <c r="W417" i="2"/>
  <c r="P417" i="2"/>
  <c r="N417" i="2"/>
  <c r="M417" i="2"/>
  <c r="K417" i="2"/>
  <c r="W416" i="2"/>
  <c r="P416" i="2"/>
  <c r="N416" i="2"/>
  <c r="M416" i="2"/>
  <c r="K416" i="2"/>
  <c r="W415" i="2"/>
  <c r="P415" i="2"/>
  <c r="N415" i="2"/>
  <c r="M415" i="2"/>
  <c r="K415" i="2"/>
  <c r="W414" i="2"/>
  <c r="P414" i="2"/>
  <c r="N414" i="2"/>
  <c r="M414" i="2"/>
  <c r="K414" i="2"/>
  <c r="W413" i="2"/>
  <c r="P413" i="2"/>
  <c r="N413" i="2"/>
  <c r="M413" i="2"/>
  <c r="K413" i="2"/>
  <c r="W412" i="2"/>
  <c r="P412" i="2"/>
  <c r="N412" i="2"/>
  <c r="M412" i="2"/>
  <c r="K412" i="2"/>
  <c r="W411" i="2"/>
  <c r="P411" i="2"/>
  <c r="N411" i="2"/>
  <c r="M411" i="2"/>
  <c r="K411" i="2"/>
  <c r="W410" i="2"/>
  <c r="P410" i="2"/>
  <c r="N410" i="2"/>
  <c r="M410" i="2"/>
  <c r="K410" i="2"/>
  <c r="W409" i="2"/>
  <c r="P409" i="2"/>
  <c r="N409" i="2"/>
  <c r="M409" i="2"/>
  <c r="K409" i="2"/>
  <c r="W408" i="2"/>
  <c r="P408" i="2"/>
  <c r="N408" i="2"/>
  <c r="M408" i="2"/>
  <c r="K408" i="2"/>
  <c r="W407" i="2"/>
  <c r="P407" i="2"/>
  <c r="N407" i="2"/>
  <c r="M407" i="2"/>
  <c r="K407" i="2"/>
  <c r="W406" i="2"/>
  <c r="P406" i="2"/>
  <c r="N406" i="2"/>
  <c r="M406" i="2"/>
  <c r="K406" i="2"/>
  <c r="W405" i="2"/>
  <c r="P405" i="2"/>
  <c r="N405" i="2"/>
  <c r="M405" i="2"/>
  <c r="K405" i="2"/>
  <c r="W404" i="2"/>
  <c r="P404" i="2"/>
  <c r="N404" i="2"/>
  <c r="M404" i="2"/>
  <c r="K404" i="2"/>
  <c r="W403" i="2"/>
  <c r="P403" i="2"/>
  <c r="N403" i="2"/>
  <c r="M403" i="2"/>
  <c r="K403" i="2"/>
  <c r="W402" i="2"/>
  <c r="P402" i="2"/>
  <c r="N402" i="2"/>
  <c r="M402" i="2"/>
  <c r="K402" i="2"/>
  <c r="W401" i="2"/>
  <c r="P401" i="2"/>
  <c r="N401" i="2"/>
  <c r="M401" i="2"/>
  <c r="K401" i="2"/>
  <c r="W400" i="2"/>
  <c r="P400" i="2"/>
  <c r="N400" i="2"/>
  <c r="M400" i="2"/>
  <c r="K400" i="2"/>
  <c r="W399" i="2"/>
  <c r="P399" i="2"/>
  <c r="N399" i="2"/>
  <c r="M399" i="2"/>
  <c r="K399" i="2"/>
  <c r="W398" i="2"/>
  <c r="P398" i="2"/>
  <c r="N398" i="2"/>
  <c r="M398" i="2"/>
  <c r="K398" i="2"/>
  <c r="W397" i="2"/>
  <c r="P397" i="2"/>
  <c r="N397" i="2"/>
  <c r="M397" i="2"/>
  <c r="K397" i="2"/>
  <c r="W396" i="2"/>
  <c r="P396" i="2"/>
  <c r="N396" i="2"/>
  <c r="M396" i="2"/>
  <c r="K396" i="2"/>
  <c r="W395" i="2"/>
  <c r="P395" i="2"/>
  <c r="N395" i="2"/>
  <c r="M395" i="2"/>
  <c r="K395" i="2"/>
  <c r="W394" i="2"/>
  <c r="P394" i="2"/>
  <c r="N394" i="2"/>
  <c r="M394" i="2"/>
  <c r="K394" i="2"/>
  <c r="W393" i="2"/>
  <c r="P393" i="2"/>
  <c r="N393" i="2"/>
  <c r="M393" i="2"/>
  <c r="K393" i="2"/>
  <c r="W392" i="2"/>
  <c r="P392" i="2"/>
  <c r="N392" i="2"/>
  <c r="M392" i="2"/>
  <c r="K392" i="2"/>
  <c r="W391" i="2"/>
  <c r="P391" i="2"/>
  <c r="N391" i="2"/>
  <c r="M391" i="2"/>
  <c r="K391" i="2"/>
  <c r="W390" i="2"/>
  <c r="P390" i="2"/>
  <c r="N390" i="2"/>
  <c r="M390" i="2"/>
  <c r="K390" i="2"/>
  <c r="W389" i="2"/>
  <c r="P389" i="2"/>
  <c r="N389" i="2"/>
  <c r="M389" i="2"/>
  <c r="K389" i="2"/>
  <c r="W388" i="2"/>
  <c r="P388" i="2"/>
  <c r="N388" i="2"/>
  <c r="M388" i="2"/>
  <c r="K388" i="2"/>
  <c r="W387" i="2"/>
  <c r="P387" i="2"/>
  <c r="N387" i="2"/>
  <c r="M387" i="2"/>
  <c r="K387" i="2"/>
  <c r="W386" i="2"/>
  <c r="P386" i="2"/>
  <c r="N386" i="2"/>
  <c r="M386" i="2"/>
  <c r="K386" i="2"/>
  <c r="W385" i="2"/>
  <c r="P385" i="2"/>
  <c r="N385" i="2"/>
  <c r="M385" i="2"/>
  <c r="K385" i="2"/>
  <c r="W384" i="2"/>
  <c r="P384" i="2"/>
  <c r="N384" i="2"/>
  <c r="M384" i="2"/>
  <c r="K384" i="2"/>
  <c r="W383" i="2"/>
  <c r="P383" i="2"/>
  <c r="N383" i="2"/>
  <c r="M383" i="2"/>
  <c r="K383" i="2"/>
  <c r="W382" i="2"/>
  <c r="P382" i="2"/>
  <c r="N382" i="2"/>
  <c r="M382" i="2"/>
  <c r="K382" i="2"/>
  <c r="W381" i="2"/>
  <c r="P381" i="2"/>
  <c r="N381" i="2"/>
  <c r="M381" i="2"/>
  <c r="K381" i="2"/>
  <c r="W380" i="2"/>
  <c r="P380" i="2"/>
  <c r="N380" i="2"/>
  <c r="M380" i="2"/>
  <c r="K380" i="2"/>
  <c r="W379" i="2"/>
  <c r="P379" i="2"/>
  <c r="N379" i="2"/>
  <c r="M379" i="2"/>
  <c r="K379" i="2"/>
  <c r="W378" i="2"/>
  <c r="P378" i="2"/>
  <c r="N378" i="2"/>
  <c r="M378" i="2"/>
  <c r="K378" i="2"/>
  <c r="W377" i="2"/>
  <c r="P377" i="2"/>
  <c r="N377" i="2"/>
  <c r="M377" i="2"/>
  <c r="K377" i="2"/>
  <c r="W376" i="2"/>
  <c r="P376" i="2"/>
  <c r="N376" i="2"/>
  <c r="M376" i="2"/>
  <c r="K376" i="2"/>
  <c r="W375" i="2"/>
  <c r="P375" i="2"/>
  <c r="N375" i="2"/>
  <c r="M375" i="2"/>
  <c r="K375" i="2"/>
  <c r="W374" i="2"/>
  <c r="P374" i="2"/>
  <c r="N374" i="2"/>
  <c r="M374" i="2"/>
  <c r="K374" i="2"/>
  <c r="W373" i="2"/>
  <c r="P373" i="2"/>
  <c r="N373" i="2"/>
  <c r="M373" i="2"/>
  <c r="K373" i="2"/>
  <c r="W372" i="2"/>
  <c r="P372" i="2"/>
  <c r="N372" i="2"/>
  <c r="M372" i="2"/>
  <c r="K372" i="2"/>
  <c r="W371" i="2"/>
  <c r="P371" i="2"/>
  <c r="N371" i="2"/>
  <c r="M371" i="2"/>
  <c r="K371" i="2"/>
  <c r="W370" i="2"/>
  <c r="P370" i="2"/>
  <c r="N370" i="2"/>
  <c r="M370" i="2"/>
  <c r="K370" i="2"/>
  <c r="W369" i="2"/>
  <c r="P369" i="2"/>
  <c r="N369" i="2"/>
  <c r="M369" i="2"/>
  <c r="K369" i="2"/>
  <c r="W368" i="2"/>
  <c r="P368" i="2"/>
  <c r="N368" i="2"/>
  <c r="M368" i="2"/>
  <c r="K368" i="2"/>
  <c r="W367" i="2"/>
  <c r="P367" i="2"/>
  <c r="N367" i="2"/>
  <c r="M367" i="2"/>
  <c r="K367" i="2"/>
  <c r="W366" i="2"/>
  <c r="P366" i="2"/>
  <c r="N366" i="2"/>
  <c r="M366" i="2"/>
  <c r="K366" i="2"/>
  <c r="W365" i="2"/>
  <c r="P365" i="2"/>
  <c r="N365" i="2"/>
  <c r="M365" i="2"/>
  <c r="K365" i="2"/>
  <c r="W364" i="2"/>
  <c r="P364" i="2"/>
  <c r="N364" i="2"/>
  <c r="M364" i="2"/>
  <c r="K364" i="2"/>
  <c r="W363" i="2"/>
  <c r="P363" i="2"/>
  <c r="N363" i="2"/>
  <c r="M363" i="2"/>
  <c r="K363" i="2"/>
  <c r="W362" i="2"/>
  <c r="P362" i="2"/>
  <c r="N362" i="2"/>
  <c r="M362" i="2"/>
  <c r="K362" i="2"/>
  <c r="W361" i="2"/>
  <c r="P361" i="2"/>
  <c r="N361" i="2"/>
  <c r="M361" i="2"/>
  <c r="K361" i="2"/>
  <c r="W360" i="2"/>
  <c r="P360" i="2"/>
  <c r="N360" i="2"/>
  <c r="M360" i="2"/>
  <c r="K360" i="2"/>
  <c r="W359" i="2"/>
  <c r="P359" i="2"/>
  <c r="N359" i="2"/>
  <c r="M359" i="2"/>
  <c r="K359" i="2"/>
  <c r="W358" i="2"/>
  <c r="P358" i="2"/>
  <c r="N358" i="2"/>
  <c r="M358" i="2"/>
  <c r="K358" i="2"/>
  <c r="W357" i="2"/>
  <c r="P357" i="2"/>
  <c r="N357" i="2"/>
  <c r="M357" i="2"/>
  <c r="K357" i="2"/>
  <c r="W356" i="2"/>
  <c r="P356" i="2"/>
  <c r="N356" i="2"/>
  <c r="M356" i="2"/>
  <c r="K356" i="2"/>
  <c r="W355" i="2"/>
  <c r="P355" i="2"/>
  <c r="N355" i="2"/>
  <c r="M355" i="2"/>
  <c r="K355" i="2"/>
  <c r="W354" i="2"/>
  <c r="P354" i="2"/>
  <c r="N354" i="2"/>
  <c r="M354" i="2"/>
  <c r="K354" i="2"/>
  <c r="W353" i="2"/>
  <c r="P353" i="2"/>
  <c r="N353" i="2"/>
  <c r="M353" i="2"/>
  <c r="K353" i="2"/>
  <c r="W352" i="2"/>
  <c r="P352" i="2"/>
  <c r="N352" i="2"/>
  <c r="M352" i="2"/>
  <c r="K352" i="2"/>
  <c r="W351" i="2"/>
  <c r="P351" i="2"/>
  <c r="N351" i="2"/>
  <c r="M351" i="2"/>
  <c r="K351" i="2"/>
  <c r="W350" i="2"/>
  <c r="P350" i="2"/>
  <c r="N350" i="2"/>
  <c r="M350" i="2"/>
  <c r="K350" i="2"/>
  <c r="W349" i="2"/>
  <c r="P349" i="2"/>
  <c r="N349" i="2"/>
  <c r="M349" i="2"/>
  <c r="K349" i="2"/>
  <c r="W348" i="2"/>
  <c r="P348" i="2"/>
  <c r="N348" i="2"/>
  <c r="M348" i="2"/>
  <c r="K348" i="2"/>
  <c r="W347" i="2"/>
  <c r="P347" i="2"/>
  <c r="N347" i="2"/>
  <c r="M347" i="2"/>
  <c r="K347" i="2"/>
  <c r="W346" i="2"/>
  <c r="P346" i="2"/>
  <c r="N346" i="2"/>
  <c r="M346" i="2"/>
  <c r="K346" i="2"/>
  <c r="W345" i="2"/>
  <c r="P345" i="2"/>
  <c r="N345" i="2"/>
  <c r="M345" i="2"/>
  <c r="K345" i="2"/>
  <c r="W344" i="2"/>
  <c r="P344" i="2"/>
  <c r="N344" i="2"/>
  <c r="M344" i="2"/>
  <c r="K344" i="2"/>
  <c r="W343" i="2"/>
  <c r="P343" i="2"/>
  <c r="N343" i="2"/>
  <c r="M343" i="2"/>
  <c r="K343" i="2"/>
  <c r="W342" i="2"/>
  <c r="P342" i="2"/>
  <c r="N342" i="2"/>
  <c r="M342" i="2"/>
  <c r="K342" i="2"/>
  <c r="W341" i="2"/>
  <c r="P341" i="2"/>
  <c r="N341" i="2"/>
  <c r="M341" i="2"/>
  <c r="K341" i="2"/>
  <c r="W340" i="2"/>
  <c r="P340" i="2"/>
  <c r="N340" i="2"/>
  <c r="M340" i="2"/>
  <c r="K340" i="2"/>
  <c r="W339" i="2"/>
  <c r="P339" i="2"/>
  <c r="N339" i="2"/>
  <c r="M339" i="2"/>
  <c r="K339" i="2"/>
  <c r="W338" i="2"/>
  <c r="P338" i="2"/>
  <c r="N338" i="2"/>
  <c r="M338" i="2"/>
  <c r="K338" i="2"/>
  <c r="W337" i="2"/>
  <c r="P337" i="2"/>
  <c r="N337" i="2"/>
  <c r="M337" i="2"/>
  <c r="K337" i="2"/>
  <c r="W336" i="2"/>
  <c r="P336" i="2"/>
  <c r="N336" i="2"/>
  <c r="M336" i="2"/>
  <c r="K336" i="2"/>
  <c r="W335" i="2"/>
  <c r="P335" i="2"/>
  <c r="N335" i="2"/>
  <c r="M335" i="2"/>
  <c r="K335" i="2"/>
  <c r="W334" i="2"/>
  <c r="P334" i="2"/>
  <c r="N334" i="2"/>
  <c r="M334" i="2"/>
  <c r="K334" i="2"/>
  <c r="W333" i="2"/>
  <c r="P333" i="2"/>
  <c r="N333" i="2"/>
  <c r="M333" i="2"/>
  <c r="K333" i="2"/>
  <c r="W332" i="2"/>
  <c r="P332" i="2"/>
  <c r="N332" i="2"/>
  <c r="M332" i="2"/>
  <c r="K332" i="2"/>
  <c r="W331" i="2"/>
  <c r="P331" i="2"/>
  <c r="N331" i="2"/>
  <c r="M331" i="2"/>
  <c r="K331" i="2"/>
  <c r="W330" i="2"/>
  <c r="P330" i="2"/>
  <c r="N330" i="2"/>
  <c r="M330" i="2"/>
  <c r="K330" i="2"/>
  <c r="W329" i="2"/>
  <c r="P329" i="2"/>
  <c r="N329" i="2"/>
  <c r="M329" i="2"/>
  <c r="K329" i="2"/>
  <c r="W328" i="2"/>
  <c r="P328" i="2"/>
  <c r="N328" i="2"/>
  <c r="M328" i="2"/>
  <c r="K328" i="2"/>
  <c r="W327" i="2"/>
  <c r="P327" i="2"/>
  <c r="N327" i="2"/>
  <c r="M327" i="2"/>
  <c r="K327" i="2"/>
  <c r="W326" i="2"/>
  <c r="P326" i="2"/>
  <c r="N326" i="2"/>
  <c r="M326" i="2"/>
  <c r="K326" i="2"/>
  <c r="W325" i="2"/>
  <c r="P325" i="2"/>
  <c r="N325" i="2"/>
  <c r="M325" i="2"/>
  <c r="K325" i="2"/>
  <c r="W324" i="2"/>
  <c r="P324" i="2"/>
  <c r="N324" i="2"/>
  <c r="M324" i="2"/>
  <c r="K324" i="2"/>
  <c r="W323" i="2"/>
  <c r="P323" i="2"/>
  <c r="N323" i="2"/>
  <c r="M323" i="2"/>
  <c r="K323" i="2"/>
  <c r="W322" i="2"/>
  <c r="P322" i="2"/>
  <c r="N322" i="2"/>
  <c r="M322" i="2"/>
  <c r="K322" i="2"/>
  <c r="W321" i="2"/>
  <c r="P321" i="2"/>
  <c r="N321" i="2"/>
  <c r="M321" i="2"/>
  <c r="K321" i="2"/>
  <c r="W320" i="2"/>
  <c r="P320" i="2"/>
  <c r="N320" i="2"/>
  <c r="M320" i="2"/>
  <c r="K320" i="2"/>
  <c r="W319" i="2"/>
  <c r="P319" i="2"/>
  <c r="N319" i="2"/>
  <c r="M319" i="2"/>
  <c r="K319" i="2"/>
  <c r="W318" i="2"/>
  <c r="P318" i="2"/>
  <c r="N318" i="2"/>
  <c r="M318" i="2"/>
  <c r="K318" i="2"/>
  <c r="W317" i="2"/>
  <c r="P317" i="2"/>
  <c r="N317" i="2"/>
  <c r="M317" i="2"/>
  <c r="K317" i="2"/>
  <c r="W316" i="2"/>
  <c r="P316" i="2"/>
  <c r="N316" i="2"/>
  <c r="M316" i="2"/>
  <c r="K316" i="2"/>
  <c r="W315" i="2"/>
  <c r="P315" i="2"/>
  <c r="N315" i="2"/>
  <c r="M315" i="2"/>
  <c r="K315" i="2"/>
  <c r="W314" i="2"/>
  <c r="P314" i="2"/>
  <c r="N314" i="2"/>
  <c r="M314" i="2"/>
  <c r="K314" i="2"/>
  <c r="W313" i="2"/>
  <c r="P313" i="2"/>
  <c r="N313" i="2"/>
  <c r="M313" i="2"/>
  <c r="K313" i="2"/>
  <c r="W312" i="2"/>
  <c r="P312" i="2"/>
  <c r="N312" i="2"/>
  <c r="M312" i="2"/>
  <c r="K312" i="2"/>
  <c r="W311" i="2"/>
  <c r="P311" i="2"/>
  <c r="N311" i="2"/>
  <c r="M311" i="2"/>
  <c r="K311" i="2"/>
  <c r="W310" i="2"/>
  <c r="P310" i="2"/>
  <c r="N310" i="2"/>
  <c r="M310" i="2"/>
  <c r="K310" i="2"/>
  <c r="W309" i="2"/>
  <c r="P309" i="2"/>
  <c r="N309" i="2"/>
  <c r="M309" i="2"/>
  <c r="K309" i="2"/>
  <c r="W308" i="2"/>
  <c r="P308" i="2"/>
  <c r="N308" i="2"/>
  <c r="M308" i="2"/>
  <c r="K308" i="2"/>
  <c r="W307" i="2"/>
  <c r="P307" i="2"/>
  <c r="N307" i="2"/>
  <c r="M307" i="2"/>
  <c r="K307" i="2"/>
  <c r="W306" i="2"/>
  <c r="P306" i="2"/>
  <c r="N306" i="2"/>
  <c r="M306" i="2"/>
  <c r="K306" i="2"/>
  <c r="W305" i="2"/>
  <c r="P305" i="2"/>
  <c r="N305" i="2"/>
  <c r="M305" i="2"/>
  <c r="K305" i="2"/>
  <c r="W304" i="2"/>
  <c r="P304" i="2"/>
  <c r="N304" i="2"/>
  <c r="M304" i="2"/>
  <c r="K304" i="2"/>
  <c r="W303" i="2"/>
  <c r="P303" i="2"/>
  <c r="N303" i="2"/>
  <c r="M303" i="2"/>
  <c r="K303" i="2"/>
  <c r="W302" i="2"/>
  <c r="P302" i="2"/>
  <c r="N302" i="2"/>
  <c r="M302" i="2"/>
  <c r="K302" i="2"/>
  <c r="W301" i="2"/>
  <c r="P301" i="2"/>
  <c r="N301" i="2"/>
  <c r="M301" i="2"/>
  <c r="K301" i="2"/>
  <c r="W300" i="2"/>
  <c r="P300" i="2"/>
  <c r="N300" i="2"/>
  <c r="M300" i="2"/>
  <c r="K300" i="2"/>
  <c r="W299" i="2"/>
  <c r="P299" i="2"/>
  <c r="N299" i="2"/>
  <c r="M299" i="2"/>
  <c r="K299" i="2"/>
  <c r="W298" i="2"/>
  <c r="P298" i="2"/>
  <c r="N298" i="2"/>
  <c r="M298" i="2"/>
  <c r="K298" i="2"/>
  <c r="W297" i="2"/>
  <c r="P297" i="2"/>
  <c r="N297" i="2"/>
  <c r="M297" i="2"/>
  <c r="K297" i="2"/>
  <c r="W296" i="2"/>
  <c r="P296" i="2"/>
  <c r="N296" i="2"/>
  <c r="M296" i="2"/>
  <c r="K296" i="2"/>
  <c r="W295" i="2"/>
  <c r="P295" i="2"/>
  <c r="N295" i="2"/>
  <c r="M295" i="2"/>
  <c r="K295" i="2"/>
  <c r="W294" i="2"/>
  <c r="P294" i="2"/>
  <c r="N294" i="2"/>
  <c r="M294" i="2"/>
  <c r="K294" i="2"/>
  <c r="W293" i="2"/>
  <c r="P293" i="2"/>
  <c r="N293" i="2"/>
  <c r="M293" i="2"/>
  <c r="K293" i="2"/>
  <c r="W292" i="2"/>
  <c r="P292" i="2"/>
  <c r="N292" i="2"/>
  <c r="M292" i="2"/>
  <c r="K292" i="2"/>
  <c r="W291" i="2"/>
  <c r="P291" i="2"/>
  <c r="N291" i="2"/>
  <c r="M291" i="2"/>
  <c r="K291" i="2"/>
  <c r="W290" i="2"/>
  <c r="P290" i="2"/>
  <c r="N290" i="2"/>
  <c r="M290" i="2"/>
  <c r="K290" i="2"/>
  <c r="W289" i="2"/>
  <c r="P289" i="2"/>
  <c r="N289" i="2"/>
  <c r="M289" i="2"/>
  <c r="K289" i="2"/>
  <c r="W288" i="2"/>
  <c r="P288" i="2"/>
  <c r="N288" i="2"/>
  <c r="M288" i="2"/>
  <c r="K288" i="2"/>
  <c r="W287" i="2"/>
  <c r="P287" i="2"/>
  <c r="N287" i="2"/>
  <c r="M287" i="2"/>
  <c r="K287" i="2"/>
  <c r="W286" i="2"/>
  <c r="P286" i="2"/>
  <c r="N286" i="2"/>
  <c r="M286" i="2"/>
  <c r="K286" i="2"/>
  <c r="W285" i="2"/>
  <c r="P285" i="2"/>
  <c r="N285" i="2"/>
  <c r="M285" i="2"/>
  <c r="K285" i="2"/>
  <c r="W284" i="2"/>
  <c r="P284" i="2"/>
  <c r="N284" i="2"/>
  <c r="M284" i="2"/>
  <c r="K284" i="2"/>
  <c r="W283" i="2"/>
  <c r="P283" i="2"/>
  <c r="N283" i="2"/>
  <c r="M283" i="2"/>
  <c r="K283" i="2"/>
  <c r="W282" i="2"/>
  <c r="P282" i="2"/>
  <c r="N282" i="2"/>
  <c r="M282" i="2"/>
  <c r="K282" i="2"/>
  <c r="W281" i="2"/>
  <c r="P281" i="2"/>
  <c r="N281" i="2"/>
  <c r="M281" i="2"/>
  <c r="K281" i="2"/>
  <c r="W280" i="2"/>
  <c r="P280" i="2"/>
  <c r="N280" i="2"/>
  <c r="M280" i="2"/>
  <c r="K280" i="2"/>
  <c r="W279" i="2"/>
  <c r="P279" i="2"/>
  <c r="N279" i="2"/>
  <c r="M279" i="2"/>
  <c r="K279" i="2"/>
  <c r="W278" i="2"/>
  <c r="P278" i="2"/>
  <c r="N278" i="2"/>
  <c r="M278" i="2"/>
  <c r="K278" i="2"/>
  <c r="W277" i="2"/>
  <c r="P277" i="2"/>
  <c r="N277" i="2"/>
  <c r="M277" i="2"/>
  <c r="K277" i="2"/>
  <c r="W276" i="2"/>
  <c r="P276" i="2"/>
  <c r="N276" i="2"/>
  <c r="M276" i="2"/>
  <c r="K276" i="2"/>
  <c r="W275" i="2"/>
  <c r="P275" i="2"/>
  <c r="N275" i="2"/>
  <c r="M275" i="2"/>
  <c r="K275" i="2"/>
  <c r="W274" i="2"/>
  <c r="P274" i="2"/>
  <c r="N274" i="2"/>
  <c r="M274" i="2"/>
  <c r="K274" i="2"/>
  <c r="W273" i="2"/>
  <c r="P273" i="2"/>
  <c r="N273" i="2"/>
  <c r="M273" i="2"/>
  <c r="K273" i="2"/>
  <c r="W272" i="2"/>
  <c r="P272" i="2"/>
  <c r="N272" i="2"/>
  <c r="M272" i="2"/>
  <c r="K272" i="2"/>
  <c r="W271" i="2"/>
  <c r="P271" i="2"/>
  <c r="N271" i="2"/>
  <c r="M271" i="2"/>
  <c r="K271" i="2"/>
  <c r="W270" i="2"/>
  <c r="P270" i="2"/>
  <c r="N270" i="2"/>
  <c r="M270" i="2"/>
  <c r="K270" i="2"/>
  <c r="W269" i="2"/>
  <c r="P269" i="2"/>
  <c r="N269" i="2"/>
  <c r="M269" i="2"/>
  <c r="K269" i="2"/>
  <c r="W268" i="2"/>
  <c r="P268" i="2"/>
  <c r="N268" i="2"/>
  <c r="M268" i="2"/>
  <c r="K268" i="2"/>
  <c r="W267" i="2"/>
  <c r="P267" i="2"/>
  <c r="N267" i="2"/>
  <c r="M267" i="2"/>
  <c r="K267" i="2"/>
  <c r="W266" i="2"/>
  <c r="P266" i="2"/>
  <c r="N266" i="2"/>
  <c r="M266" i="2"/>
  <c r="K266" i="2"/>
  <c r="W265" i="2"/>
  <c r="P265" i="2"/>
  <c r="N265" i="2"/>
  <c r="M265" i="2"/>
  <c r="K265" i="2"/>
  <c r="W264" i="2"/>
  <c r="P264" i="2"/>
  <c r="N264" i="2"/>
  <c r="M264" i="2"/>
  <c r="K264" i="2"/>
  <c r="W263" i="2"/>
  <c r="P263" i="2"/>
  <c r="N263" i="2"/>
  <c r="M263" i="2"/>
  <c r="K263" i="2"/>
  <c r="W262" i="2"/>
  <c r="P262" i="2"/>
  <c r="N262" i="2"/>
  <c r="M262" i="2"/>
  <c r="K262" i="2"/>
  <c r="W261" i="2"/>
  <c r="P261" i="2"/>
  <c r="N261" i="2"/>
  <c r="M261" i="2"/>
  <c r="K261" i="2"/>
  <c r="W260" i="2"/>
  <c r="P260" i="2"/>
  <c r="N260" i="2"/>
  <c r="M260" i="2"/>
  <c r="K260" i="2"/>
  <c r="W259" i="2"/>
  <c r="P259" i="2"/>
  <c r="N259" i="2"/>
  <c r="M259" i="2"/>
  <c r="K259" i="2"/>
  <c r="W258" i="2"/>
  <c r="P258" i="2"/>
  <c r="N258" i="2"/>
  <c r="M258" i="2"/>
  <c r="K258" i="2"/>
  <c r="W257" i="2"/>
  <c r="P257" i="2"/>
  <c r="N257" i="2"/>
  <c r="M257" i="2"/>
  <c r="K257" i="2"/>
  <c r="W256" i="2"/>
  <c r="P256" i="2"/>
  <c r="N256" i="2"/>
  <c r="M256" i="2"/>
  <c r="K256" i="2"/>
  <c r="W255" i="2"/>
  <c r="P255" i="2"/>
  <c r="N255" i="2"/>
  <c r="M255" i="2"/>
  <c r="K255" i="2"/>
  <c r="W254" i="2"/>
  <c r="P254" i="2"/>
  <c r="N254" i="2"/>
  <c r="M254" i="2"/>
  <c r="K254" i="2"/>
  <c r="W253" i="2"/>
  <c r="P253" i="2"/>
  <c r="N253" i="2"/>
  <c r="M253" i="2"/>
  <c r="K253" i="2"/>
  <c r="W252" i="2"/>
  <c r="P252" i="2"/>
  <c r="N252" i="2"/>
  <c r="M252" i="2"/>
  <c r="K252" i="2"/>
  <c r="W251" i="2"/>
  <c r="P251" i="2"/>
  <c r="N251" i="2"/>
  <c r="M251" i="2"/>
  <c r="K251" i="2"/>
  <c r="W250" i="2"/>
  <c r="P250" i="2"/>
  <c r="N250" i="2"/>
  <c r="M250" i="2"/>
  <c r="K250" i="2"/>
  <c r="W249" i="2"/>
  <c r="P249" i="2"/>
  <c r="N249" i="2"/>
  <c r="M249" i="2"/>
  <c r="K249" i="2"/>
  <c r="W248" i="2"/>
  <c r="P248" i="2"/>
  <c r="N248" i="2"/>
  <c r="M248" i="2"/>
  <c r="K248" i="2"/>
  <c r="W247" i="2"/>
  <c r="P247" i="2"/>
  <c r="N247" i="2"/>
  <c r="M247" i="2"/>
  <c r="K247" i="2"/>
  <c r="W246" i="2"/>
  <c r="P246" i="2"/>
  <c r="N246" i="2"/>
  <c r="M246" i="2"/>
  <c r="K246" i="2"/>
  <c r="W245" i="2"/>
  <c r="P245" i="2"/>
  <c r="N245" i="2"/>
  <c r="M245" i="2"/>
  <c r="K245" i="2"/>
  <c r="W244" i="2"/>
  <c r="P244" i="2"/>
  <c r="N244" i="2"/>
  <c r="M244" i="2"/>
  <c r="K244" i="2"/>
  <c r="W243" i="2"/>
  <c r="P243" i="2"/>
  <c r="N243" i="2"/>
  <c r="M243" i="2"/>
  <c r="K243" i="2"/>
  <c r="W242" i="2"/>
  <c r="P242" i="2"/>
  <c r="N242" i="2"/>
  <c r="M242" i="2"/>
  <c r="K242" i="2"/>
  <c r="W241" i="2"/>
  <c r="P241" i="2"/>
  <c r="N241" i="2"/>
  <c r="M241" i="2"/>
  <c r="K241" i="2"/>
  <c r="W240" i="2"/>
  <c r="P240" i="2"/>
  <c r="N240" i="2"/>
  <c r="M240" i="2"/>
  <c r="K240" i="2"/>
  <c r="W239" i="2"/>
  <c r="P239" i="2"/>
  <c r="N239" i="2"/>
  <c r="M239" i="2"/>
  <c r="K239" i="2"/>
  <c r="W238" i="2"/>
  <c r="P238" i="2"/>
  <c r="N238" i="2"/>
  <c r="M238" i="2"/>
  <c r="K238" i="2"/>
  <c r="W237" i="2"/>
  <c r="P237" i="2"/>
  <c r="N237" i="2"/>
  <c r="M237" i="2"/>
  <c r="K237" i="2"/>
  <c r="W236" i="2"/>
  <c r="P236" i="2"/>
  <c r="N236" i="2"/>
  <c r="M236" i="2"/>
  <c r="K236" i="2"/>
  <c r="W235" i="2"/>
  <c r="P235" i="2"/>
  <c r="N235" i="2"/>
  <c r="M235" i="2"/>
  <c r="K235" i="2"/>
  <c r="W234" i="2"/>
  <c r="P234" i="2"/>
  <c r="N234" i="2"/>
  <c r="M234" i="2"/>
  <c r="K234" i="2"/>
  <c r="W233" i="2"/>
  <c r="P233" i="2"/>
  <c r="N233" i="2"/>
  <c r="M233" i="2"/>
  <c r="K233" i="2"/>
  <c r="W232" i="2"/>
  <c r="P232" i="2"/>
  <c r="N232" i="2"/>
  <c r="M232" i="2"/>
  <c r="K232" i="2"/>
  <c r="W231" i="2"/>
  <c r="P231" i="2"/>
  <c r="N231" i="2"/>
  <c r="M231" i="2"/>
  <c r="K231" i="2"/>
  <c r="W230" i="2"/>
  <c r="P230" i="2"/>
  <c r="N230" i="2"/>
  <c r="M230" i="2"/>
  <c r="K230" i="2"/>
  <c r="W229" i="2"/>
  <c r="P229" i="2"/>
  <c r="N229" i="2"/>
  <c r="M229" i="2"/>
  <c r="K229" i="2"/>
  <c r="W228" i="2"/>
  <c r="P228" i="2"/>
  <c r="N228" i="2"/>
  <c r="M228" i="2"/>
  <c r="K228" i="2"/>
  <c r="W227" i="2"/>
  <c r="P227" i="2"/>
  <c r="N227" i="2"/>
  <c r="M227" i="2"/>
  <c r="K227" i="2"/>
  <c r="W226" i="2"/>
  <c r="P226" i="2"/>
  <c r="N226" i="2"/>
  <c r="M226" i="2"/>
  <c r="K226" i="2"/>
  <c r="W225" i="2"/>
  <c r="P225" i="2"/>
  <c r="N225" i="2"/>
  <c r="M225" i="2"/>
  <c r="K225" i="2"/>
  <c r="W224" i="2"/>
  <c r="P224" i="2"/>
  <c r="N224" i="2"/>
  <c r="M224" i="2"/>
  <c r="K224" i="2"/>
  <c r="W223" i="2"/>
  <c r="P223" i="2"/>
  <c r="N223" i="2"/>
  <c r="M223" i="2"/>
  <c r="K223" i="2"/>
  <c r="W222" i="2"/>
  <c r="P222" i="2"/>
  <c r="N222" i="2"/>
  <c r="M222" i="2"/>
  <c r="K222" i="2"/>
  <c r="W221" i="2"/>
  <c r="P221" i="2"/>
  <c r="N221" i="2"/>
  <c r="M221" i="2"/>
  <c r="K221" i="2"/>
  <c r="W220" i="2"/>
  <c r="P220" i="2"/>
  <c r="N220" i="2"/>
  <c r="M220" i="2"/>
  <c r="K220" i="2"/>
  <c r="W219" i="2"/>
  <c r="P219" i="2"/>
  <c r="N219" i="2"/>
  <c r="M219" i="2"/>
  <c r="K219" i="2"/>
  <c r="W218" i="2"/>
  <c r="P218" i="2"/>
  <c r="N218" i="2"/>
  <c r="M218" i="2"/>
  <c r="K218" i="2"/>
  <c r="W217" i="2"/>
  <c r="P217" i="2"/>
  <c r="N217" i="2"/>
  <c r="M217" i="2"/>
  <c r="K217" i="2"/>
  <c r="W216" i="2"/>
  <c r="P216" i="2"/>
  <c r="N216" i="2"/>
  <c r="M216" i="2"/>
  <c r="K216" i="2"/>
  <c r="W215" i="2"/>
  <c r="P215" i="2"/>
  <c r="N215" i="2"/>
  <c r="M215" i="2"/>
  <c r="K215" i="2"/>
  <c r="W214" i="2"/>
  <c r="P214" i="2"/>
  <c r="N214" i="2"/>
  <c r="M214" i="2"/>
  <c r="K214" i="2"/>
  <c r="W213" i="2"/>
  <c r="P213" i="2"/>
  <c r="N213" i="2"/>
  <c r="M213" i="2"/>
  <c r="K213" i="2"/>
  <c r="W212" i="2"/>
  <c r="P212" i="2"/>
  <c r="N212" i="2"/>
  <c r="M212" i="2"/>
  <c r="K212" i="2"/>
  <c r="W211" i="2"/>
  <c r="P211" i="2"/>
  <c r="N211" i="2"/>
  <c r="M211" i="2"/>
  <c r="K211" i="2"/>
  <c r="W210" i="2"/>
  <c r="P210" i="2"/>
  <c r="N210" i="2"/>
  <c r="M210" i="2"/>
  <c r="K210" i="2"/>
  <c r="W209" i="2"/>
  <c r="P209" i="2"/>
  <c r="N209" i="2"/>
  <c r="M209" i="2"/>
  <c r="K209" i="2"/>
  <c r="W208" i="2"/>
  <c r="P208" i="2"/>
  <c r="N208" i="2"/>
  <c r="M208" i="2"/>
  <c r="K208" i="2"/>
  <c r="W207" i="2"/>
  <c r="P207" i="2"/>
  <c r="N207" i="2"/>
  <c r="M207" i="2"/>
  <c r="K207" i="2"/>
  <c r="W206" i="2"/>
  <c r="P206" i="2"/>
  <c r="N206" i="2"/>
  <c r="M206" i="2"/>
  <c r="K206" i="2"/>
  <c r="W205" i="2"/>
  <c r="P205" i="2"/>
  <c r="N205" i="2"/>
  <c r="M205" i="2"/>
  <c r="K205" i="2"/>
  <c r="W204" i="2"/>
  <c r="P204" i="2"/>
  <c r="N204" i="2"/>
  <c r="M204" i="2"/>
  <c r="K204" i="2"/>
  <c r="W203" i="2"/>
  <c r="P203" i="2"/>
  <c r="N203" i="2"/>
  <c r="M203" i="2"/>
  <c r="K203" i="2"/>
  <c r="W202" i="2"/>
  <c r="P202" i="2"/>
  <c r="N202" i="2"/>
  <c r="M202" i="2"/>
  <c r="K202" i="2"/>
  <c r="W201" i="2"/>
  <c r="P201" i="2"/>
  <c r="N201" i="2"/>
  <c r="M201" i="2"/>
  <c r="K201" i="2"/>
  <c r="W200" i="2"/>
  <c r="P200" i="2"/>
  <c r="N200" i="2"/>
  <c r="M200" i="2"/>
  <c r="K200" i="2"/>
  <c r="W199" i="2"/>
  <c r="P199" i="2"/>
  <c r="N199" i="2"/>
  <c r="M199" i="2"/>
  <c r="K199" i="2"/>
  <c r="W198" i="2"/>
  <c r="P198" i="2"/>
  <c r="N198" i="2"/>
  <c r="M198" i="2"/>
  <c r="K198" i="2"/>
  <c r="W197" i="2"/>
  <c r="P197" i="2"/>
  <c r="N197" i="2"/>
  <c r="M197" i="2"/>
  <c r="K197" i="2"/>
  <c r="W196" i="2"/>
  <c r="P196" i="2"/>
  <c r="N196" i="2"/>
  <c r="M196" i="2"/>
  <c r="K196" i="2"/>
  <c r="W195" i="2"/>
  <c r="P195" i="2"/>
  <c r="N195" i="2"/>
  <c r="M195" i="2"/>
  <c r="K195" i="2"/>
  <c r="W194" i="2"/>
  <c r="P194" i="2"/>
  <c r="N194" i="2"/>
  <c r="M194" i="2"/>
  <c r="K194" i="2"/>
  <c r="W193" i="2"/>
  <c r="P193" i="2"/>
  <c r="N193" i="2"/>
  <c r="M193" i="2"/>
  <c r="K193" i="2"/>
  <c r="W192" i="2"/>
  <c r="P192" i="2"/>
  <c r="N192" i="2"/>
  <c r="M192" i="2"/>
  <c r="K192" i="2"/>
  <c r="W191" i="2"/>
  <c r="P191" i="2"/>
  <c r="N191" i="2"/>
  <c r="M191" i="2"/>
  <c r="K191" i="2"/>
  <c r="W190" i="2"/>
  <c r="P190" i="2"/>
  <c r="N190" i="2"/>
  <c r="M190" i="2"/>
  <c r="K190" i="2"/>
  <c r="W189" i="2"/>
  <c r="P189" i="2"/>
  <c r="N189" i="2"/>
  <c r="M189" i="2"/>
  <c r="K189" i="2"/>
  <c r="W188" i="2"/>
  <c r="P188" i="2"/>
  <c r="N188" i="2"/>
  <c r="M188" i="2"/>
  <c r="K188" i="2"/>
  <c r="W187" i="2"/>
  <c r="P187" i="2"/>
  <c r="N187" i="2"/>
  <c r="M187" i="2"/>
  <c r="K187" i="2"/>
  <c r="W186" i="2"/>
  <c r="P186" i="2"/>
  <c r="N186" i="2"/>
  <c r="M186" i="2"/>
  <c r="K186" i="2"/>
  <c r="W185" i="2"/>
  <c r="P185" i="2"/>
  <c r="N185" i="2"/>
  <c r="M185" i="2"/>
  <c r="K185" i="2"/>
  <c r="W184" i="2"/>
  <c r="P184" i="2"/>
  <c r="N184" i="2"/>
  <c r="M184" i="2"/>
  <c r="K184" i="2"/>
  <c r="W183" i="2"/>
  <c r="P183" i="2"/>
  <c r="N183" i="2"/>
  <c r="M183" i="2"/>
  <c r="K183" i="2"/>
  <c r="W182" i="2"/>
  <c r="P182" i="2"/>
  <c r="N182" i="2"/>
  <c r="M182" i="2"/>
  <c r="K182" i="2"/>
  <c r="W181" i="2"/>
  <c r="P181" i="2"/>
  <c r="N181" i="2"/>
  <c r="M181" i="2"/>
  <c r="K181" i="2"/>
  <c r="W180" i="2"/>
  <c r="P180" i="2"/>
  <c r="N180" i="2"/>
  <c r="M180" i="2"/>
  <c r="K180" i="2"/>
  <c r="W179" i="2"/>
  <c r="P179" i="2"/>
  <c r="N179" i="2"/>
  <c r="M179" i="2"/>
  <c r="K179" i="2"/>
  <c r="W178" i="2"/>
  <c r="P178" i="2"/>
  <c r="N178" i="2"/>
  <c r="M178" i="2"/>
  <c r="K178" i="2"/>
  <c r="W177" i="2"/>
  <c r="P177" i="2"/>
  <c r="N177" i="2"/>
  <c r="M177" i="2"/>
  <c r="K177" i="2"/>
  <c r="W176" i="2"/>
  <c r="P176" i="2"/>
  <c r="N176" i="2"/>
  <c r="M176" i="2"/>
  <c r="K176" i="2"/>
  <c r="W175" i="2"/>
  <c r="P175" i="2"/>
  <c r="N175" i="2"/>
  <c r="M175" i="2"/>
  <c r="K175" i="2"/>
  <c r="W174" i="2"/>
  <c r="P174" i="2"/>
  <c r="N174" i="2"/>
  <c r="M174" i="2"/>
  <c r="K174" i="2"/>
  <c r="W173" i="2"/>
  <c r="P173" i="2"/>
  <c r="N173" i="2"/>
  <c r="M173" i="2"/>
  <c r="K173" i="2"/>
  <c r="W172" i="2"/>
  <c r="P172" i="2"/>
  <c r="N172" i="2"/>
  <c r="M172" i="2"/>
  <c r="K172" i="2"/>
  <c r="W171" i="2"/>
  <c r="P171" i="2"/>
  <c r="N171" i="2"/>
  <c r="M171" i="2"/>
  <c r="K171" i="2"/>
  <c r="W170" i="2"/>
  <c r="P170" i="2"/>
  <c r="N170" i="2"/>
  <c r="M170" i="2"/>
  <c r="K170" i="2"/>
  <c r="W169" i="2"/>
  <c r="P169" i="2"/>
  <c r="N169" i="2"/>
  <c r="M169" i="2"/>
  <c r="K169" i="2"/>
  <c r="W168" i="2"/>
  <c r="P168" i="2"/>
  <c r="N168" i="2"/>
  <c r="M168" i="2"/>
  <c r="K168" i="2"/>
  <c r="W167" i="2"/>
  <c r="P167" i="2"/>
  <c r="N167" i="2"/>
  <c r="M167" i="2"/>
  <c r="K167" i="2"/>
  <c r="W166" i="2"/>
  <c r="P166" i="2"/>
  <c r="N166" i="2"/>
  <c r="M166" i="2"/>
  <c r="K166" i="2"/>
  <c r="W165" i="2"/>
  <c r="P165" i="2"/>
  <c r="N165" i="2"/>
  <c r="M165" i="2"/>
  <c r="K165" i="2"/>
  <c r="W164" i="2"/>
  <c r="P164" i="2"/>
  <c r="N164" i="2"/>
  <c r="M164" i="2"/>
  <c r="K164" i="2"/>
  <c r="W163" i="2"/>
  <c r="P163" i="2"/>
  <c r="N163" i="2"/>
  <c r="M163" i="2"/>
  <c r="K163" i="2"/>
  <c r="W162" i="2"/>
  <c r="P162" i="2"/>
  <c r="N162" i="2"/>
  <c r="M162" i="2"/>
  <c r="K162" i="2"/>
  <c r="W161" i="2"/>
  <c r="P161" i="2"/>
  <c r="N161" i="2"/>
  <c r="M161" i="2"/>
  <c r="K161" i="2"/>
  <c r="W160" i="2"/>
  <c r="P160" i="2"/>
  <c r="N160" i="2"/>
  <c r="M160" i="2"/>
  <c r="K160" i="2"/>
  <c r="W159" i="2"/>
  <c r="P159" i="2"/>
  <c r="N159" i="2"/>
  <c r="M159" i="2"/>
  <c r="K159" i="2"/>
  <c r="W158" i="2"/>
  <c r="P158" i="2"/>
  <c r="N158" i="2"/>
  <c r="M158" i="2"/>
  <c r="K158" i="2"/>
  <c r="W157" i="2"/>
  <c r="P157" i="2"/>
  <c r="N157" i="2"/>
  <c r="M157" i="2"/>
  <c r="K157" i="2"/>
  <c r="W156" i="2"/>
  <c r="P156" i="2"/>
  <c r="N156" i="2"/>
  <c r="M156" i="2"/>
  <c r="K156" i="2"/>
  <c r="W155" i="2"/>
  <c r="P155" i="2"/>
  <c r="N155" i="2"/>
  <c r="M155" i="2"/>
  <c r="K155" i="2"/>
  <c r="W154" i="2"/>
  <c r="P154" i="2"/>
  <c r="N154" i="2"/>
  <c r="M154" i="2"/>
  <c r="K154" i="2"/>
  <c r="W153" i="2"/>
  <c r="P153" i="2"/>
  <c r="N153" i="2"/>
  <c r="M153" i="2"/>
  <c r="K153" i="2"/>
  <c r="W152" i="2"/>
  <c r="P152" i="2"/>
  <c r="N152" i="2"/>
  <c r="M152" i="2"/>
  <c r="K152" i="2"/>
  <c r="W151" i="2"/>
  <c r="P151" i="2"/>
  <c r="N151" i="2"/>
  <c r="M151" i="2"/>
  <c r="K151" i="2"/>
  <c r="W150" i="2"/>
  <c r="P150" i="2"/>
  <c r="N150" i="2"/>
  <c r="M150" i="2"/>
  <c r="K150" i="2"/>
  <c r="W149" i="2"/>
  <c r="P149" i="2"/>
  <c r="N149" i="2"/>
  <c r="M149" i="2"/>
  <c r="K149" i="2"/>
  <c r="W148" i="2"/>
  <c r="P148" i="2"/>
  <c r="N148" i="2"/>
  <c r="M148" i="2"/>
  <c r="K148" i="2"/>
  <c r="W147" i="2"/>
  <c r="P147" i="2"/>
  <c r="N147" i="2"/>
  <c r="M147" i="2"/>
  <c r="K147" i="2"/>
  <c r="W146" i="2"/>
  <c r="P146" i="2"/>
  <c r="N146" i="2"/>
  <c r="M146" i="2"/>
  <c r="K146" i="2"/>
  <c r="W145" i="2"/>
  <c r="P145" i="2"/>
  <c r="N145" i="2"/>
  <c r="M145" i="2"/>
  <c r="K145" i="2"/>
  <c r="W144" i="2"/>
  <c r="P144" i="2"/>
  <c r="N144" i="2"/>
  <c r="M144" i="2"/>
  <c r="K144" i="2"/>
  <c r="W143" i="2"/>
  <c r="P143" i="2"/>
  <c r="N143" i="2"/>
  <c r="M143" i="2"/>
  <c r="K143" i="2"/>
  <c r="W142" i="2"/>
  <c r="P142" i="2"/>
  <c r="N142" i="2"/>
  <c r="M142" i="2"/>
  <c r="K142" i="2"/>
  <c r="W141" i="2"/>
  <c r="P141" i="2"/>
  <c r="N141" i="2"/>
  <c r="M141" i="2"/>
  <c r="K141" i="2"/>
  <c r="W140" i="2"/>
  <c r="P140" i="2"/>
  <c r="N140" i="2"/>
  <c r="M140" i="2"/>
  <c r="K140" i="2"/>
  <c r="W139" i="2"/>
  <c r="P139" i="2"/>
  <c r="N139" i="2"/>
  <c r="M139" i="2"/>
  <c r="K139" i="2"/>
  <c r="W138" i="2"/>
  <c r="P138" i="2"/>
  <c r="N138" i="2"/>
  <c r="M138" i="2"/>
  <c r="K138" i="2"/>
  <c r="W137" i="2"/>
  <c r="P137" i="2"/>
  <c r="N137" i="2"/>
  <c r="M137" i="2"/>
  <c r="K137" i="2"/>
  <c r="W136" i="2"/>
  <c r="P136" i="2"/>
  <c r="N136" i="2"/>
  <c r="M136" i="2"/>
  <c r="K136" i="2"/>
  <c r="W135" i="2"/>
  <c r="P135" i="2"/>
  <c r="N135" i="2"/>
  <c r="M135" i="2"/>
  <c r="K135" i="2"/>
  <c r="W134" i="2"/>
  <c r="P134" i="2"/>
  <c r="N134" i="2"/>
  <c r="M134" i="2"/>
  <c r="K134" i="2"/>
  <c r="W133" i="2"/>
  <c r="P133" i="2"/>
  <c r="N133" i="2"/>
  <c r="M133" i="2"/>
  <c r="K133" i="2"/>
  <c r="W132" i="2"/>
  <c r="P132" i="2"/>
  <c r="N132" i="2"/>
  <c r="M132" i="2"/>
  <c r="K132" i="2"/>
  <c r="W131" i="2"/>
  <c r="P131" i="2"/>
  <c r="N131" i="2"/>
  <c r="M131" i="2"/>
  <c r="K131" i="2"/>
  <c r="W130" i="2"/>
  <c r="P130" i="2"/>
  <c r="N130" i="2"/>
  <c r="M130" i="2"/>
  <c r="K130" i="2"/>
  <c r="W129" i="2"/>
  <c r="P129" i="2"/>
  <c r="N129" i="2"/>
  <c r="M129" i="2"/>
  <c r="K129" i="2"/>
  <c r="W128" i="2"/>
  <c r="P128" i="2"/>
  <c r="N128" i="2"/>
  <c r="M128" i="2"/>
  <c r="K128" i="2"/>
  <c r="W127" i="2"/>
  <c r="P127" i="2"/>
  <c r="N127" i="2"/>
  <c r="M127" i="2"/>
  <c r="K127" i="2"/>
  <c r="W126" i="2"/>
  <c r="P126" i="2"/>
  <c r="N126" i="2"/>
  <c r="M126" i="2"/>
  <c r="K126" i="2"/>
  <c r="W125" i="2"/>
  <c r="P125" i="2"/>
  <c r="N125" i="2"/>
  <c r="M125" i="2"/>
  <c r="K125" i="2"/>
  <c r="W124" i="2"/>
  <c r="P124" i="2"/>
  <c r="N124" i="2"/>
  <c r="M124" i="2"/>
  <c r="K124" i="2"/>
  <c r="W123" i="2"/>
  <c r="P123" i="2"/>
  <c r="N123" i="2"/>
  <c r="M123" i="2"/>
  <c r="K123" i="2"/>
  <c r="W122" i="2"/>
  <c r="P122" i="2"/>
  <c r="N122" i="2"/>
  <c r="M122" i="2"/>
  <c r="K122" i="2"/>
  <c r="W121" i="2"/>
  <c r="P121" i="2"/>
  <c r="N121" i="2"/>
  <c r="M121" i="2"/>
  <c r="K121" i="2"/>
  <c r="W120" i="2"/>
  <c r="P120" i="2"/>
  <c r="N120" i="2"/>
  <c r="M120" i="2"/>
  <c r="K120" i="2"/>
  <c r="W119" i="2"/>
  <c r="P119" i="2"/>
  <c r="N119" i="2"/>
  <c r="M119" i="2"/>
  <c r="K119" i="2"/>
  <c r="W118" i="2"/>
  <c r="P118" i="2"/>
  <c r="N118" i="2"/>
  <c r="M118" i="2"/>
  <c r="K118" i="2"/>
  <c r="W117" i="2"/>
  <c r="P117" i="2"/>
  <c r="N117" i="2"/>
  <c r="M117" i="2"/>
  <c r="K117" i="2"/>
  <c r="W116" i="2"/>
  <c r="P116" i="2"/>
  <c r="N116" i="2"/>
  <c r="M116" i="2"/>
  <c r="K116" i="2"/>
  <c r="W115" i="2"/>
  <c r="P115" i="2"/>
  <c r="N115" i="2"/>
  <c r="M115" i="2"/>
  <c r="K115" i="2"/>
  <c r="W114" i="2"/>
  <c r="P114" i="2"/>
  <c r="N114" i="2"/>
  <c r="M114" i="2"/>
  <c r="K114" i="2"/>
  <c r="W113" i="2"/>
  <c r="P113" i="2"/>
  <c r="N113" i="2"/>
  <c r="M113" i="2"/>
  <c r="K113" i="2"/>
  <c r="W112" i="2"/>
  <c r="P112" i="2"/>
  <c r="N112" i="2"/>
  <c r="M112" i="2"/>
  <c r="K112" i="2"/>
  <c r="W111" i="2"/>
  <c r="P111" i="2"/>
  <c r="N111" i="2"/>
  <c r="M111" i="2"/>
  <c r="K111" i="2"/>
  <c r="W110" i="2"/>
  <c r="P110" i="2"/>
  <c r="N110" i="2"/>
  <c r="M110" i="2"/>
  <c r="K110" i="2"/>
  <c r="W109" i="2"/>
  <c r="P109" i="2"/>
  <c r="N109" i="2"/>
  <c r="M109" i="2"/>
  <c r="K109" i="2"/>
  <c r="W108" i="2"/>
  <c r="P108" i="2"/>
  <c r="N108" i="2"/>
  <c r="M108" i="2"/>
  <c r="K108" i="2"/>
  <c r="W107" i="2"/>
  <c r="P107" i="2"/>
  <c r="N107" i="2"/>
  <c r="M107" i="2"/>
  <c r="K107" i="2"/>
  <c r="W106" i="2"/>
  <c r="P106" i="2"/>
  <c r="N106" i="2"/>
  <c r="M106" i="2"/>
  <c r="K106" i="2"/>
  <c r="W105" i="2"/>
  <c r="P105" i="2"/>
  <c r="N105" i="2"/>
  <c r="M105" i="2"/>
  <c r="K105" i="2"/>
  <c r="W104" i="2"/>
  <c r="P104" i="2"/>
  <c r="N104" i="2"/>
  <c r="M104" i="2"/>
  <c r="K104" i="2"/>
  <c r="W103" i="2"/>
  <c r="P103" i="2"/>
  <c r="N103" i="2"/>
  <c r="M103" i="2"/>
  <c r="K103" i="2"/>
  <c r="W102" i="2"/>
  <c r="P102" i="2"/>
  <c r="N102" i="2"/>
  <c r="M102" i="2"/>
  <c r="K102" i="2"/>
  <c r="W101" i="2"/>
  <c r="P101" i="2"/>
  <c r="N101" i="2"/>
  <c r="M101" i="2"/>
  <c r="K101" i="2"/>
  <c r="W100" i="2"/>
  <c r="P100" i="2"/>
  <c r="N100" i="2"/>
  <c r="M100" i="2"/>
  <c r="K100" i="2"/>
  <c r="W99" i="2"/>
  <c r="P99" i="2"/>
  <c r="N99" i="2"/>
  <c r="M99" i="2"/>
  <c r="K99" i="2"/>
  <c r="W98" i="2"/>
  <c r="P98" i="2"/>
  <c r="N98" i="2"/>
  <c r="M98" i="2"/>
  <c r="K98" i="2"/>
  <c r="W97" i="2"/>
  <c r="P97" i="2"/>
  <c r="N97" i="2"/>
  <c r="M97" i="2"/>
  <c r="K97" i="2"/>
  <c r="W96" i="2"/>
  <c r="P96" i="2"/>
  <c r="N96" i="2"/>
  <c r="M96" i="2"/>
  <c r="K96" i="2"/>
  <c r="W95" i="2"/>
  <c r="P95" i="2"/>
  <c r="N95" i="2"/>
  <c r="M95" i="2"/>
  <c r="K95" i="2"/>
  <c r="W94" i="2"/>
  <c r="P94" i="2"/>
  <c r="N94" i="2"/>
  <c r="M94" i="2"/>
  <c r="K94" i="2"/>
  <c r="W93" i="2"/>
  <c r="P93" i="2"/>
  <c r="N93" i="2"/>
  <c r="M93" i="2"/>
  <c r="K93" i="2"/>
  <c r="W92" i="2"/>
  <c r="P92" i="2"/>
  <c r="N92" i="2"/>
  <c r="M92" i="2"/>
  <c r="K92" i="2"/>
  <c r="W91" i="2"/>
  <c r="P91" i="2"/>
  <c r="N91" i="2"/>
  <c r="M91" i="2"/>
  <c r="K91" i="2"/>
  <c r="W90" i="2"/>
  <c r="P90" i="2"/>
  <c r="N90" i="2"/>
  <c r="M90" i="2"/>
  <c r="K90" i="2"/>
  <c r="W89" i="2"/>
  <c r="P89" i="2"/>
  <c r="N89" i="2"/>
  <c r="M89" i="2"/>
  <c r="K89" i="2"/>
  <c r="W88" i="2"/>
  <c r="P88" i="2"/>
  <c r="N88" i="2"/>
  <c r="M88" i="2"/>
  <c r="K88" i="2"/>
  <c r="W87" i="2"/>
  <c r="P87" i="2"/>
  <c r="N87" i="2"/>
  <c r="M87" i="2"/>
  <c r="K87" i="2"/>
  <c r="W86" i="2"/>
  <c r="P86" i="2"/>
  <c r="N86" i="2"/>
  <c r="M86" i="2"/>
  <c r="K86" i="2"/>
  <c r="W85" i="2"/>
  <c r="P85" i="2"/>
  <c r="N85" i="2"/>
  <c r="M85" i="2"/>
  <c r="K85" i="2"/>
  <c r="W84" i="2"/>
  <c r="P84" i="2"/>
  <c r="N84" i="2"/>
  <c r="M84" i="2"/>
  <c r="K84" i="2"/>
  <c r="W83" i="2"/>
  <c r="P83" i="2"/>
  <c r="N83" i="2"/>
  <c r="M83" i="2"/>
  <c r="K83" i="2"/>
  <c r="W82" i="2"/>
  <c r="P82" i="2"/>
  <c r="N82" i="2"/>
  <c r="M82" i="2"/>
  <c r="K82" i="2"/>
  <c r="W81" i="2"/>
  <c r="P81" i="2"/>
  <c r="N81" i="2"/>
  <c r="M81" i="2"/>
  <c r="K81" i="2"/>
  <c r="W80" i="2"/>
  <c r="P80" i="2"/>
  <c r="N80" i="2"/>
  <c r="M80" i="2"/>
  <c r="K80" i="2"/>
  <c r="W79" i="2"/>
  <c r="P79" i="2"/>
  <c r="N79" i="2"/>
  <c r="M79" i="2"/>
  <c r="K79" i="2"/>
  <c r="W78" i="2"/>
  <c r="P78" i="2"/>
  <c r="N78" i="2"/>
  <c r="M78" i="2"/>
  <c r="K78" i="2"/>
  <c r="W77" i="2"/>
  <c r="P77" i="2"/>
  <c r="N77" i="2"/>
  <c r="M77" i="2"/>
  <c r="K77" i="2"/>
  <c r="W76" i="2"/>
  <c r="P76" i="2"/>
  <c r="N76" i="2"/>
  <c r="M76" i="2"/>
  <c r="K76" i="2"/>
  <c r="W75" i="2"/>
  <c r="P75" i="2"/>
  <c r="N75" i="2"/>
  <c r="M75" i="2"/>
  <c r="K75" i="2"/>
  <c r="W74" i="2"/>
  <c r="P74" i="2"/>
  <c r="N74" i="2"/>
  <c r="M74" i="2"/>
  <c r="K74" i="2"/>
  <c r="W73" i="2"/>
  <c r="P73" i="2"/>
  <c r="N73" i="2"/>
  <c r="M73" i="2"/>
  <c r="K73" i="2"/>
  <c r="W72" i="2"/>
  <c r="P72" i="2"/>
  <c r="N72" i="2"/>
  <c r="M72" i="2"/>
  <c r="K72" i="2"/>
  <c r="W71" i="2"/>
  <c r="P71" i="2"/>
  <c r="N71" i="2"/>
  <c r="M71" i="2"/>
  <c r="K71" i="2"/>
  <c r="W70" i="2"/>
  <c r="P70" i="2"/>
  <c r="N70" i="2"/>
  <c r="M70" i="2"/>
  <c r="K70" i="2"/>
  <c r="W69" i="2"/>
  <c r="P69" i="2"/>
  <c r="N69" i="2"/>
  <c r="M69" i="2"/>
  <c r="K69" i="2"/>
  <c r="W68" i="2"/>
  <c r="P68" i="2"/>
  <c r="N68" i="2"/>
  <c r="M68" i="2"/>
  <c r="K68" i="2"/>
  <c r="W67" i="2"/>
  <c r="P67" i="2"/>
  <c r="N67" i="2"/>
  <c r="M67" i="2"/>
  <c r="K67" i="2"/>
  <c r="W66" i="2"/>
  <c r="P66" i="2"/>
  <c r="N66" i="2"/>
  <c r="M66" i="2"/>
  <c r="K66" i="2"/>
  <c r="W65" i="2"/>
  <c r="P65" i="2"/>
  <c r="N65" i="2"/>
  <c r="M65" i="2"/>
  <c r="K65" i="2"/>
  <c r="W64" i="2"/>
  <c r="P64" i="2"/>
  <c r="N64" i="2"/>
  <c r="M64" i="2"/>
  <c r="K64" i="2"/>
  <c r="W63" i="2"/>
  <c r="P63" i="2"/>
  <c r="N63" i="2"/>
  <c r="M63" i="2"/>
  <c r="K63" i="2"/>
  <c r="W62" i="2"/>
  <c r="P62" i="2"/>
  <c r="N62" i="2"/>
  <c r="M62" i="2"/>
  <c r="K62" i="2"/>
  <c r="W61" i="2"/>
  <c r="P61" i="2"/>
  <c r="N61" i="2"/>
  <c r="M61" i="2"/>
  <c r="K61" i="2"/>
  <c r="W60" i="2"/>
  <c r="P60" i="2"/>
  <c r="N60" i="2"/>
  <c r="M60" i="2"/>
  <c r="K60" i="2"/>
  <c r="W59" i="2"/>
  <c r="P59" i="2"/>
  <c r="N59" i="2"/>
  <c r="M59" i="2"/>
  <c r="K59" i="2"/>
  <c r="W58" i="2"/>
  <c r="P58" i="2"/>
  <c r="N58" i="2"/>
  <c r="M58" i="2"/>
  <c r="K58" i="2"/>
  <c r="W57" i="2"/>
  <c r="P57" i="2"/>
  <c r="N57" i="2"/>
  <c r="M57" i="2"/>
  <c r="K57" i="2"/>
  <c r="W56" i="2"/>
  <c r="P56" i="2"/>
  <c r="N56" i="2"/>
  <c r="M56" i="2"/>
  <c r="K56" i="2"/>
  <c r="W55" i="2"/>
  <c r="P55" i="2"/>
  <c r="N55" i="2"/>
  <c r="M55" i="2"/>
  <c r="K55" i="2"/>
  <c r="W54" i="2"/>
  <c r="P54" i="2"/>
  <c r="N54" i="2"/>
  <c r="M54" i="2"/>
  <c r="K54" i="2"/>
  <c r="W53" i="2"/>
  <c r="P53" i="2"/>
  <c r="N53" i="2"/>
  <c r="M53" i="2"/>
  <c r="K53" i="2"/>
  <c r="W52" i="2"/>
  <c r="P52" i="2"/>
  <c r="N52" i="2"/>
  <c r="M52" i="2"/>
  <c r="K52" i="2"/>
  <c r="W51" i="2"/>
  <c r="P51" i="2"/>
  <c r="N51" i="2"/>
  <c r="M51" i="2"/>
  <c r="K51" i="2"/>
  <c r="W50" i="2"/>
  <c r="P50" i="2"/>
  <c r="N50" i="2"/>
  <c r="M50" i="2"/>
  <c r="K50" i="2"/>
  <c r="W49" i="2"/>
  <c r="P49" i="2"/>
  <c r="N49" i="2"/>
  <c r="M49" i="2"/>
  <c r="K49" i="2"/>
  <c r="W48" i="2"/>
  <c r="P48" i="2"/>
  <c r="N48" i="2"/>
  <c r="M48" i="2"/>
  <c r="K48" i="2"/>
  <c r="W47" i="2"/>
  <c r="P47" i="2"/>
  <c r="N47" i="2"/>
  <c r="M47" i="2"/>
  <c r="K47" i="2"/>
  <c r="W46" i="2"/>
  <c r="P46" i="2"/>
  <c r="N46" i="2"/>
  <c r="M46" i="2"/>
  <c r="K46" i="2"/>
  <c r="W45" i="2"/>
  <c r="P45" i="2"/>
  <c r="N45" i="2"/>
  <c r="M45" i="2"/>
  <c r="K45" i="2"/>
  <c r="W44" i="2"/>
  <c r="P44" i="2"/>
  <c r="N44" i="2"/>
  <c r="M44" i="2"/>
  <c r="K44" i="2"/>
  <c r="W43" i="2"/>
  <c r="P43" i="2"/>
  <c r="N43" i="2"/>
  <c r="M43" i="2"/>
  <c r="K43" i="2"/>
  <c r="W42" i="2"/>
  <c r="P42" i="2"/>
  <c r="N42" i="2"/>
  <c r="M42" i="2"/>
  <c r="K42" i="2"/>
  <c r="W41" i="2"/>
  <c r="P41" i="2"/>
  <c r="N41" i="2"/>
  <c r="M41" i="2"/>
  <c r="K41" i="2"/>
  <c r="W40" i="2"/>
  <c r="P40" i="2"/>
  <c r="N40" i="2"/>
  <c r="M40" i="2"/>
  <c r="K40" i="2"/>
  <c r="W39" i="2"/>
  <c r="P39" i="2"/>
  <c r="N39" i="2"/>
  <c r="M39" i="2"/>
  <c r="K39" i="2"/>
  <c r="W38" i="2"/>
  <c r="P38" i="2"/>
  <c r="N38" i="2"/>
  <c r="M38" i="2"/>
  <c r="K38" i="2"/>
  <c r="W37" i="2"/>
  <c r="P37" i="2"/>
  <c r="N37" i="2"/>
  <c r="M37" i="2"/>
  <c r="K37" i="2"/>
  <c r="W36" i="2"/>
  <c r="P36" i="2"/>
  <c r="N36" i="2"/>
  <c r="M36" i="2"/>
  <c r="K36" i="2"/>
  <c r="W35" i="2"/>
  <c r="P35" i="2"/>
  <c r="N35" i="2"/>
  <c r="M35" i="2"/>
  <c r="K35" i="2"/>
  <c r="W34" i="2"/>
  <c r="P34" i="2"/>
  <c r="N34" i="2"/>
  <c r="M34" i="2"/>
  <c r="K34" i="2"/>
  <c r="W33" i="2"/>
  <c r="P33" i="2"/>
  <c r="N33" i="2"/>
  <c r="M33" i="2"/>
  <c r="K33" i="2"/>
  <c r="W32" i="2"/>
  <c r="P32" i="2"/>
  <c r="N32" i="2"/>
  <c r="M32" i="2"/>
  <c r="K32" i="2"/>
  <c r="W31" i="2"/>
  <c r="P31" i="2"/>
  <c r="N31" i="2"/>
  <c r="M31" i="2"/>
  <c r="K31" i="2"/>
  <c r="W30" i="2"/>
  <c r="P30" i="2"/>
  <c r="N30" i="2"/>
  <c r="M30" i="2"/>
  <c r="K30" i="2"/>
  <c r="W29" i="2"/>
  <c r="P29" i="2"/>
  <c r="N29" i="2"/>
  <c r="M29" i="2"/>
  <c r="K29" i="2"/>
  <c r="W28" i="2"/>
  <c r="P28" i="2"/>
  <c r="N28" i="2"/>
  <c r="M28" i="2"/>
  <c r="K28" i="2"/>
  <c r="W27" i="2"/>
  <c r="P27" i="2"/>
  <c r="N27" i="2"/>
  <c r="M27" i="2"/>
  <c r="K27" i="2"/>
  <c r="W26" i="2"/>
  <c r="P26" i="2"/>
  <c r="N26" i="2"/>
  <c r="M26" i="2"/>
  <c r="K26" i="2"/>
  <c r="W25" i="2"/>
  <c r="P25" i="2"/>
  <c r="N25" i="2"/>
  <c r="M25" i="2"/>
  <c r="K25" i="2"/>
  <c r="W24" i="2"/>
  <c r="P24" i="2"/>
  <c r="N24" i="2"/>
  <c r="M24" i="2"/>
  <c r="K24" i="2"/>
  <c r="W23" i="2"/>
  <c r="P23" i="2"/>
  <c r="N23" i="2"/>
  <c r="M23" i="2"/>
  <c r="K23" i="2"/>
  <c r="W22" i="2"/>
  <c r="P22" i="2"/>
  <c r="N22" i="2"/>
  <c r="M22" i="2"/>
  <c r="K22" i="2"/>
  <c r="W21" i="2"/>
  <c r="P21" i="2"/>
  <c r="N21" i="2"/>
  <c r="M21" i="2"/>
  <c r="K21" i="2"/>
  <c r="W20" i="2"/>
  <c r="P20" i="2"/>
  <c r="N20" i="2"/>
  <c r="M20" i="2"/>
  <c r="K20" i="2"/>
  <c r="W19" i="2"/>
  <c r="P19" i="2"/>
  <c r="N19" i="2"/>
  <c r="M19" i="2"/>
  <c r="K19" i="2"/>
  <c r="W18" i="2"/>
  <c r="P18" i="2"/>
  <c r="N18" i="2"/>
  <c r="M18" i="2"/>
  <c r="K18" i="2"/>
  <c r="W17" i="2"/>
  <c r="P17" i="2"/>
  <c r="N17" i="2"/>
  <c r="M17" i="2"/>
  <c r="K17" i="2"/>
  <c r="W16" i="2"/>
  <c r="P16" i="2"/>
  <c r="N16" i="2"/>
  <c r="M16" i="2"/>
  <c r="K16" i="2"/>
  <c r="W15" i="2"/>
  <c r="N15" i="2"/>
  <c r="M15" i="2"/>
  <c r="K15" i="2"/>
  <c r="W14" i="2"/>
  <c r="N14" i="2"/>
  <c r="M14" i="2"/>
  <c r="K14" i="2"/>
  <c r="W13" i="2"/>
  <c r="N13" i="2"/>
  <c r="M13" i="2"/>
  <c r="K13" i="2"/>
  <c r="W12" i="2"/>
  <c r="N12" i="2"/>
  <c r="M12" i="2"/>
  <c r="W11" i="2"/>
  <c r="N11" i="2"/>
  <c r="M11" i="2"/>
  <c r="K11" i="2"/>
  <c r="W10" i="2"/>
  <c r="N10" i="2"/>
  <c r="M10" i="2"/>
  <c r="K10" i="2"/>
  <c r="W9" i="2"/>
  <c r="N9" i="2"/>
  <c r="M9" i="2"/>
  <c r="K9" i="2"/>
  <c r="W8" i="2"/>
  <c r="N8" i="2"/>
  <c r="M8" i="2"/>
  <c r="K8" i="2"/>
  <c r="W7" i="2"/>
  <c r="P7" i="2"/>
  <c r="N7" i="2"/>
  <c r="M7" i="2"/>
  <c r="K7" i="2"/>
  <c r="W6" i="2"/>
  <c r="N6" i="2"/>
  <c r="M6" i="2"/>
  <c r="K6" i="2"/>
  <c r="W5" i="2"/>
  <c r="N5" i="2"/>
  <c r="M5" i="2"/>
  <c r="K5" i="2"/>
  <c r="P13" i="2" l="1"/>
  <c r="P15" i="2"/>
  <c r="P14" i="2"/>
  <c r="P12" i="2"/>
  <c r="P11" i="2"/>
  <c r="P10" i="2"/>
  <c r="P9" i="2"/>
  <c r="P8" i="2"/>
  <c r="P6" i="2"/>
  <c r="Q486" i="2"/>
  <c r="S486" i="2" s="1"/>
  <c r="X486" i="2" s="1"/>
  <c r="AC486" i="2"/>
  <c r="Q211" i="2"/>
  <c r="S211" i="2" s="1"/>
  <c r="X211" i="2" s="1"/>
  <c r="AC211" i="2"/>
  <c r="Q142" i="2"/>
  <c r="S142" i="2" s="1"/>
  <c r="X142" i="2" s="1"/>
  <c r="AC142" i="2"/>
  <c r="Q73" i="2"/>
  <c r="S73" i="2" s="1"/>
  <c r="X73" i="2" s="1"/>
  <c r="AC73" i="2"/>
  <c r="H7" i="3"/>
  <c r="F6" i="3"/>
  <c r="P5" i="2"/>
  <c r="H10" i="3"/>
  <c r="G10" i="3"/>
  <c r="H9" i="3"/>
  <c r="H8" i="3"/>
  <c r="Q504" i="2"/>
  <c r="S504" i="2" s="1"/>
  <c r="X504" i="2" s="1"/>
  <c r="AC504" i="2"/>
  <c r="Q503" i="2"/>
  <c r="S503" i="2" s="1"/>
  <c r="X503" i="2" s="1"/>
  <c r="AC503" i="2"/>
  <c r="Q502" i="2"/>
  <c r="S502" i="2" s="1"/>
  <c r="X502" i="2" s="1"/>
  <c r="AC502" i="2"/>
  <c r="AC501" i="2"/>
  <c r="Q501" i="2"/>
  <c r="S501" i="2" s="1"/>
  <c r="X501" i="2" s="1"/>
  <c r="Q500" i="2"/>
  <c r="S500" i="2" s="1"/>
  <c r="X500" i="2" s="1"/>
  <c r="AC500" i="2"/>
  <c r="AC499" i="2"/>
  <c r="Q499" i="2"/>
  <c r="S499" i="2" s="1"/>
  <c r="X499" i="2" s="1"/>
  <c r="Q498" i="2"/>
  <c r="S498" i="2" s="1"/>
  <c r="X498" i="2" s="1"/>
  <c r="AC498" i="2"/>
  <c r="AC497" i="2"/>
  <c r="Q497" i="2"/>
  <c r="S497" i="2" s="1"/>
  <c r="X497" i="2" s="1"/>
  <c r="AC496" i="2"/>
  <c r="Q496" i="2"/>
  <c r="S496" i="2" s="1"/>
  <c r="X496" i="2" s="1"/>
  <c r="Q495" i="2"/>
  <c r="S495" i="2" s="1"/>
  <c r="X495" i="2" s="1"/>
  <c r="AC495" i="2"/>
  <c r="AC494" i="2"/>
  <c r="Q494" i="2"/>
  <c r="S494" i="2" s="1"/>
  <c r="X494" i="2" s="1"/>
  <c r="Q493" i="2"/>
  <c r="S493" i="2" s="1"/>
  <c r="X493" i="2" s="1"/>
  <c r="AC493" i="2"/>
  <c r="AC492" i="2"/>
  <c r="Q492" i="2"/>
  <c r="S492" i="2" s="1"/>
  <c r="X492" i="2" s="1"/>
  <c r="AC491" i="2"/>
  <c r="Q491" i="2"/>
  <c r="S491" i="2" s="1"/>
  <c r="X491" i="2" s="1"/>
  <c r="Q490" i="2"/>
  <c r="S490" i="2" s="1"/>
  <c r="X490" i="2" s="1"/>
  <c r="AC490" i="2"/>
  <c r="AC489" i="2"/>
  <c r="Q489" i="2"/>
  <c r="S489" i="2" s="1"/>
  <c r="X489" i="2" s="1"/>
  <c r="AC488" i="2"/>
  <c r="Q488" i="2"/>
  <c r="S488" i="2" s="1"/>
  <c r="X488" i="2" s="1"/>
  <c r="AC487" i="2"/>
  <c r="Q487" i="2"/>
  <c r="S487" i="2" s="1"/>
  <c r="X487" i="2" s="1"/>
  <c r="Q485" i="2"/>
  <c r="S485" i="2" s="1"/>
  <c r="X485" i="2" s="1"/>
  <c r="AC485" i="2"/>
  <c r="Q484" i="2"/>
  <c r="S484" i="2" s="1"/>
  <c r="X484" i="2" s="1"/>
  <c r="AC484" i="2"/>
  <c r="Q483" i="2"/>
  <c r="S483" i="2" s="1"/>
  <c r="X483" i="2" s="1"/>
  <c r="AC483" i="2"/>
  <c r="AC482" i="2"/>
  <c r="Q482" i="2"/>
  <c r="S482" i="2" s="1"/>
  <c r="X482" i="2" s="1"/>
  <c r="AC481" i="2"/>
  <c r="Q481" i="2"/>
  <c r="S481" i="2" s="1"/>
  <c r="X481" i="2" s="1"/>
  <c r="AC480" i="2"/>
  <c r="Q480" i="2"/>
  <c r="S480" i="2" s="1"/>
  <c r="X480" i="2" s="1"/>
  <c r="AC479" i="2"/>
  <c r="Q479" i="2"/>
  <c r="S479" i="2" s="1"/>
  <c r="X479" i="2" s="1"/>
  <c r="AC478" i="2"/>
  <c r="Q478" i="2"/>
  <c r="S478" i="2" s="1"/>
  <c r="X478" i="2" s="1"/>
  <c r="AC477" i="2"/>
  <c r="Q477" i="2"/>
  <c r="S477" i="2" s="1"/>
  <c r="X477" i="2" s="1"/>
  <c r="AC476" i="2"/>
  <c r="Q476" i="2"/>
  <c r="S476" i="2" s="1"/>
  <c r="X476" i="2" s="1"/>
  <c r="AC475" i="2"/>
  <c r="Q475" i="2"/>
  <c r="S475" i="2" s="1"/>
  <c r="X475" i="2" s="1"/>
  <c r="AC474" i="2"/>
  <c r="Q474" i="2"/>
  <c r="S474" i="2" s="1"/>
  <c r="X474" i="2" s="1"/>
  <c r="AC473" i="2"/>
  <c r="Q473" i="2"/>
  <c r="S473" i="2" s="1"/>
  <c r="X473" i="2" s="1"/>
  <c r="AC472" i="2"/>
  <c r="Q472" i="2"/>
  <c r="S472" i="2" s="1"/>
  <c r="X472" i="2" s="1"/>
  <c r="AC471" i="2"/>
  <c r="Q471" i="2"/>
  <c r="S471" i="2" s="1"/>
  <c r="X471" i="2" s="1"/>
  <c r="AC470" i="2"/>
  <c r="Q470" i="2"/>
  <c r="S470" i="2" s="1"/>
  <c r="X470" i="2" s="1"/>
  <c r="AC469" i="2"/>
  <c r="Q469" i="2"/>
  <c r="S469" i="2" s="1"/>
  <c r="X469" i="2" s="1"/>
  <c r="AC468" i="2"/>
  <c r="Q468" i="2"/>
  <c r="S468" i="2" s="1"/>
  <c r="X468" i="2" s="1"/>
  <c r="AC467" i="2"/>
  <c r="Q467" i="2"/>
  <c r="S467" i="2" s="1"/>
  <c r="X467" i="2" s="1"/>
  <c r="AC466" i="2"/>
  <c r="Q466" i="2"/>
  <c r="S466" i="2" s="1"/>
  <c r="X466" i="2" s="1"/>
  <c r="AC465" i="2"/>
  <c r="Q465" i="2"/>
  <c r="S465" i="2" s="1"/>
  <c r="X465" i="2" s="1"/>
  <c r="AC464" i="2"/>
  <c r="Q464" i="2"/>
  <c r="S464" i="2" s="1"/>
  <c r="X464" i="2" s="1"/>
  <c r="AC463" i="2"/>
  <c r="Q463" i="2"/>
  <c r="S463" i="2" s="1"/>
  <c r="X463" i="2" s="1"/>
  <c r="AC462" i="2"/>
  <c r="Q462" i="2"/>
  <c r="S462" i="2" s="1"/>
  <c r="X462" i="2" s="1"/>
  <c r="AC461" i="2"/>
  <c r="Q461" i="2"/>
  <c r="S461" i="2" s="1"/>
  <c r="X461" i="2" s="1"/>
  <c r="Q460" i="2"/>
  <c r="S460" i="2" s="1"/>
  <c r="X460" i="2" s="1"/>
  <c r="AC460" i="2"/>
  <c r="AC459" i="2"/>
  <c r="Q459" i="2"/>
  <c r="S459" i="2" s="1"/>
  <c r="X459" i="2" s="1"/>
  <c r="AC458" i="2"/>
  <c r="Q458" i="2"/>
  <c r="S458" i="2" s="1"/>
  <c r="X458" i="2" s="1"/>
  <c r="AC457" i="2"/>
  <c r="Q457" i="2"/>
  <c r="S457" i="2" s="1"/>
  <c r="X457" i="2" s="1"/>
  <c r="AC456" i="2"/>
  <c r="Q456" i="2"/>
  <c r="S456" i="2" s="1"/>
  <c r="X456" i="2" s="1"/>
  <c r="AC455" i="2"/>
  <c r="Q455" i="2"/>
  <c r="S455" i="2" s="1"/>
  <c r="X455" i="2" s="1"/>
  <c r="AC454" i="2"/>
  <c r="Q454" i="2"/>
  <c r="S454" i="2" s="1"/>
  <c r="X454" i="2" s="1"/>
  <c r="Q453" i="2"/>
  <c r="S453" i="2" s="1"/>
  <c r="X453" i="2" s="1"/>
  <c r="AC453" i="2"/>
  <c r="Q452" i="2"/>
  <c r="S452" i="2" s="1"/>
  <c r="X452" i="2" s="1"/>
  <c r="AC452" i="2"/>
  <c r="Q451" i="2"/>
  <c r="S451" i="2" s="1"/>
  <c r="X451" i="2" s="1"/>
  <c r="AC451" i="2"/>
  <c r="Q450" i="2"/>
  <c r="S450" i="2" s="1"/>
  <c r="X450" i="2" s="1"/>
  <c r="AC450" i="2"/>
  <c r="Q449" i="2"/>
  <c r="S449" i="2" s="1"/>
  <c r="X449" i="2" s="1"/>
  <c r="AC449" i="2"/>
  <c r="Q448" i="2"/>
  <c r="S448" i="2" s="1"/>
  <c r="X448" i="2" s="1"/>
  <c r="AC448" i="2"/>
  <c r="AC447" i="2"/>
  <c r="Q447" i="2"/>
  <c r="S447" i="2" s="1"/>
  <c r="X447" i="2" s="1"/>
  <c r="Q446" i="2"/>
  <c r="S446" i="2" s="1"/>
  <c r="X446" i="2" s="1"/>
  <c r="AC446" i="2"/>
  <c r="AC445" i="2"/>
  <c r="Q445" i="2"/>
  <c r="S445" i="2" s="1"/>
  <c r="X445" i="2" s="1"/>
  <c r="AC444" i="2"/>
  <c r="Q444" i="2"/>
  <c r="S444" i="2" s="1"/>
  <c r="X444" i="2" s="1"/>
  <c r="AC443" i="2"/>
  <c r="Q443" i="2"/>
  <c r="S443" i="2" s="1"/>
  <c r="X443" i="2" s="1"/>
  <c r="AC442" i="2"/>
  <c r="Q442" i="2"/>
  <c r="S442" i="2" s="1"/>
  <c r="X442" i="2" s="1"/>
  <c r="AC441" i="2"/>
  <c r="Q441" i="2"/>
  <c r="S441" i="2" s="1"/>
  <c r="X441" i="2" s="1"/>
  <c r="Q440" i="2"/>
  <c r="S440" i="2" s="1"/>
  <c r="X440" i="2" s="1"/>
  <c r="AC440" i="2"/>
  <c r="AC439" i="2"/>
  <c r="Q439" i="2"/>
  <c r="S439" i="2" s="1"/>
  <c r="X439" i="2" s="1"/>
  <c r="AC438" i="2"/>
  <c r="Q438" i="2"/>
  <c r="S438" i="2" s="1"/>
  <c r="X438" i="2" s="1"/>
  <c r="AC437" i="2"/>
  <c r="Q437" i="2"/>
  <c r="S437" i="2" s="1"/>
  <c r="X437" i="2" s="1"/>
  <c r="AC436" i="2"/>
  <c r="Q436" i="2"/>
  <c r="S436" i="2" s="1"/>
  <c r="X436" i="2" s="1"/>
  <c r="Q435" i="2"/>
  <c r="S435" i="2" s="1"/>
  <c r="X435" i="2" s="1"/>
  <c r="AC435" i="2"/>
  <c r="Q434" i="2"/>
  <c r="S434" i="2" s="1"/>
  <c r="X434" i="2" s="1"/>
  <c r="AC434" i="2"/>
  <c r="Q433" i="2"/>
  <c r="S433" i="2" s="1"/>
  <c r="X433" i="2" s="1"/>
  <c r="AC433" i="2"/>
  <c r="Q432" i="2"/>
  <c r="S432" i="2" s="1"/>
  <c r="X432" i="2" s="1"/>
  <c r="AC432" i="2"/>
  <c r="Q431" i="2"/>
  <c r="S431" i="2" s="1"/>
  <c r="X431" i="2" s="1"/>
  <c r="AC431" i="2"/>
  <c r="Q430" i="2"/>
  <c r="S430" i="2" s="1"/>
  <c r="X430" i="2" s="1"/>
  <c r="AC430" i="2"/>
  <c r="Q429" i="2"/>
  <c r="S429" i="2" s="1"/>
  <c r="X429" i="2" s="1"/>
  <c r="AC429" i="2"/>
  <c r="Q428" i="2"/>
  <c r="S428" i="2" s="1"/>
  <c r="X428" i="2" s="1"/>
  <c r="AC428" i="2"/>
  <c r="Q427" i="2"/>
  <c r="S427" i="2" s="1"/>
  <c r="X427" i="2" s="1"/>
  <c r="AC427" i="2"/>
  <c r="AC426" i="2"/>
  <c r="Q426" i="2"/>
  <c r="S426" i="2" s="1"/>
  <c r="X426" i="2" s="1"/>
  <c r="AC425" i="2"/>
  <c r="Q425" i="2"/>
  <c r="S425" i="2" s="1"/>
  <c r="X425" i="2" s="1"/>
  <c r="Q424" i="2"/>
  <c r="S424" i="2" s="1"/>
  <c r="X424" i="2" s="1"/>
  <c r="AC424" i="2"/>
  <c r="Q423" i="2"/>
  <c r="S423" i="2" s="1"/>
  <c r="X423" i="2" s="1"/>
  <c r="AC423" i="2"/>
  <c r="Q422" i="2"/>
  <c r="S422" i="2" s="1"/>
  <c r="X422" i="2" s="1"/>
  <c r="AC422" i="2"/>
  <c r="Q421" i="2"/>
  <c r="S421" i="2" s="1"/>
  <c r="X421" i="2" s="1"/>
  <c r="AC421" i="2"/>
  <c r="Q420" i="2"/>
  <c r="S420" i="2" s="1"/>
  <c r="X420" i="2" s="1"/>
  <c r="AC420" i="2"/>
  <c r="Q419" i="2"/>
  <c r="S419" i="2" s="1"/>
  <c r="X419" i="2" s="1"/>
  <c r="AC419" i="2"/>
  <c r="Q418" i="2"/>
  <c r="S418" i="2" s="1"/>
  <c r="X418" i="2" s="1"/>
  <c r="AC418" i="2"/>
  <c r="Q417" i="2"/>
  <c r="S417" i="2" s="1"/>
  <c r="X417" i="2" s="1"/>
  <c r="AC417" i="2"/>
  <c r="AC416" i="2"/>
  <c r="Q416" i="2"/>
  <c r="S416" i="2" s="1"/>
  <c r="X416" i="2" s="1"/>
  <c r="Q415" i="2"/>
  <c r="S415" i="2" s="1"/>
  <c r="X415" i="2" s="1"/>
  <c r="AC415" i="2"/>
  <c r="Q414" i="2"/>
  <c r="S414" i="2" s="1"/>
  <c r="X414" i="2" s="1"/>
  <c r="AC414" i="2"/>
  <c r="Q413" i="2"/>
  <c r="S413" i="2" s="1"/>
  <c r="X413" i="2" s="1"/>
  <c r="AC413" i="2"/>
  <c r="Q412" i="2"/>
  <c r="S412" i="2" s="1"/>
  <c r="X412" i="2" s="1"/>
  <c r="AC412" i="2"/>
  <c r="AC411" i="2"/>
  <c r="Q411" i="2"/>
  <c r="S411" i="2" s="1"/>
  <c r="X411" i="2" s="1"/>
  <c r="AC410" i="2"/>
  <c r="Q410" i="2"/>
  <c r="S410" i="2" s="1"/>
  <c r="X410" i="2" s="1"/>
  <c r="AC409" i="2"/>
  <c r="Q409" i="2"/>
  <c r="S409" i="2" s="1"/>
  <c r="X409" i="2" s="1"/>
  <c r="AC408" i="2"/>
  <c r="Q408" i="2"/>
  <c r="S408" i="2" s="1"/>
  <c r="X408" i="2" s="1"/>
  <c r="AC407" i="2"/>
  <c r="Q407" i="2"/>
  <c r="S407" i="2" s="1"/>
  <c r="X407" i="2" s="1"/>
  <c r="AC406" i="2"/>
  <c r="Q406" i="2"/>
  <c r="S406" i="2" s="1"/>
  <c r="X406" i="2" s="1"/>
  <c r="AC405" i="2"/>
  <c r="Q405" i="2"/>
  <c r="S405" i="2" s="1"/>
  <c r="X405" i="2" s="1"/>
  <c r="AC404" i="2"/>
  <c r="Q404" i="2"/>
  <c r="S404" i="2" s="1"/>
  <c r="X404" i="2" s="1"/>
  <c r="Q403" i="2"/>
  <c r="S403" i="2" s="1"/>
  <c r="X403" i="2" s="1"/>
  <c r="AC403" i="2"/>
  <c r="Q402" i="2"/>
  <c r="S402" i="2" s="1"/>
  <c r="X402" i="2" s="1"/>
  <c r="AC402" i="2"/>
  <c r="AC401" i="2"/>
  <c r="Q401" i="2"/>
  <c r="S401" i="2" s="1"/>
  <c r="X401" i="2" s="1"/>
  <c r="AC400" i="2"/>
  <c r="Q400" i="2"/>
  <c r="S400" i="2" s="1"/>
  <c r="X400" i="2" s="1"/>
  <c r="Q399" i="2"/>
  <c r="S399" i="2" s="1"/>
  <c r="X399" i="2" s="1"/>
  <c r="AC399" i="2"/>
  <c r="AC398" i="2"/>
  <c r="Q398" i="2"/>
  <c r="S398" i="2" s="1"/>
  <c r="X398" i="2" s="1"/>
  <c r="AC397" i="2"/>
  <c r="Q397" i="2"/>
  <c r="S397" i="2" s="1"/>
  <c r="X397" i="2" s="1"/>
  <c r="AC396" i="2"/>
  <c r="Q396" i="2"/>
  <c r="S396" i="2" s="1"/>
  <c r="X396" i="2" s="1"/>
  <c r="Q395" i="2"/>
  <c r="S395" i="2" s="1"/>
  <c r="X395" i="2" s="1"/>
  <c r="AC395" i="2"/>
  <c r="Q394" i="2"/>
  <c r="S394" i="2" s="1"/>
  <c r="X394" i="2" s="1"/>
  <c r="AC394" i="2"/>
  <c r="AC393" i="2"/>
  <c r="Q393" i="2"/>
  <c r="S393" i="2" s="1"/>
  <c r="X393" i="2" s="1"/>
  <c r="AC392" i="2"/>
  <c r="Q392" i="2"/>
  <c r="S392" i="2" s="1"/>
  <c r="X392" i="2" s="1"/>
  <c r="Q391" i="2"/>
  <c r="S391" i="2" s="1"/>
  <c r="X391" i="2" s="1"/>
  <c r="AC391" i="2"/>
  <c r="Q390" i="2"/>
  <c r="S390" i="2" s="1"/>
  <c r="X390" i="2" s="1"/>
  <c r="AC390" i="2"/>
  <c r="Q389" i="2"/>
  <c r="S389" i="2" s="1"/>
  <c r="X389" i="2" s="1"/>
  <c r="AC389" i="2"/>
  <c r="Q388" i="2"/>
  <c r="S388" i="2" s="1"/>
  <c r="X388" i="2" s="1"/>
  <c r="AC388" i="2"/>
  <c r="AC387" i="2"/>
  <c r="Q387" i="2"/>
  <c r="S387" i="2" s="1"/>
  <c r="X387" i="2" s="1"/>
  <c r="AC386" i="2"/>
  <c r="Q386" i="2"/>
  <c r="S386" i="2" s="1"/>
  <c r="X386" i="2" s="1"/>
  <c r="AC385" i="2"/>
  <c r="Q385" i="2"/>
  <c r="S385" i="2" s="1"/>
  <c r="X385" i="2" s="1"/>
  <c r="AC384" i="2"/>
  <c r="Q384" i="2"/>
  <c r="S384" i="2" s="1"/>
  <c r="X384" i="2" s="1"/>
  <c r="AC383" i="2"/>
  <c r="Q383" i="2"/>
  <c r="S383" i="2" s="1"/>
  <c r="X383" i="2" s="1"/>
  <c r="AC382" i="2"/>
  <c r="Q382" i="2"/>
  <c r="S382" i="2" s="1"/>
  <c r="X382" i="2" s="1"/>
  <c r="AC381" i="2"/>
  <c r="Q381" i="2"/>
  <c r="S381" i="2" s="1"/>
  <c r="X381" i="2" s="1"/>
  <c r="AC380" i="2"/>
  <c r="Q380" i="2"/>
  <c r="S380" i="2" s="1"/>
  <c r="X380" i="2" s="1"/>
  <c r="AC379" i="2"/>
  <c r="Q379" i="2"/>
  <c r="S379" i="2" s="1"/>
  <c r="X379" i="2" s="1"/>
  <c r="AC378" i="2"/>
  <c r="Q378" i="2"/>
  <c r="S378" i="2" s="1"/>
  <c r="X378" i="2" s="1"/>
  <c r="Q377" i="2"/>
  <c r="S377" i="2" s="1"/>
  <c r="X377" i="2" s="1"/>
  <c r="AC377" i="2"/>
  <c r="AC376" i="2"/>
  <c r="Q376" i="2"/>
  <c r="S376" i="2" s="1"/>
  <c r="X376" i="2" s="1"/>
  <c r="AC375" i="2"/>
  <c r="Q375" i="2"/>
  <c r="S375" i="2" s="1"/>
  <c r="X375" i="2" s="1"/>
  <c r="AC374" i="2"/>
  <c r="Q374" i="2"/>
  <c r="S374" i="2" s="1"/>
  <c r="X374" i="2" s="1"/>
  <c r="AC373" i="2"/>
  <c r="Q373" i="2"/>
  <c r="S373" i="2" s="1"/>
  <c r="X373" i="2" s="1"/>
  <c r="AC372" i="2"/>
  <c r="Q372" i="2"/>
  <c r="S372" i="2" s="1"/>
  <c r="X372" i="2" s="1"/>
  <c r="AC371" i="2"/>
  <c r="Q371" i="2"/>
  <c r="S371" i="2" s="1"/>
  <c r="X371" i="2" s="1"/>
  <c r="AC370" i="2"/>
  <c r="Q370" i="2"/>
  <c r="S370" i="2" s="1"/>
  <c r="X370" i="2" s="1"/>
  <c r="AC369" i="2"/>
  <c r="Q369" i="2"/>
  <c r="S369" i="2" s="1"/>
  <c r="X369" i="2" s="1"/>
  <c r="AC368" i="2"/>
  <c r="Q368" i="2"/>
  <c r="S368" i="2" s="1"/>
  <c r="X368" i="2" s="1"/>
  <c r="AC367" i="2"/>
  <c r="Q367" i="2"/>
  <c r="S367" i="2" s="1"/>
  <c r="X367" i="2" s="1"/>
  <c r="AC366" i="2"/>
  <c r="Q366" i="2"/>
  <c r="S366" i="2" s="1"/>
  <c r="X366" i="2" s="1"/>
  <c r="Q365" i="2"/>
  <c r="S365" i="2" s="1"/>
  <c r="X365" i="2" s="1"/>
  <c r="AC365" i="2"/>
  <c r="AC364" i="2"/>
  <c r="Q364" i="2"/>
  <c r="S364" i="2" s="1"/>
  <c r="X364" i="2" s="1"/>
  <c r="Q363" i="2"/>
  <c r="S363" i="2" s="1"/>
  <c r="X363" i="2" s="1"/>
  <c r="AC363" i="2"/>
  <c r="Q362" i="2"/>
  <c r="S362" i="2" s="1"/>
  <c r="X362" i="2" s="1"/>
  <c r="AC362" i="2"/>
  <c r="Q361" i="2"/>
  <c r="S361" i="2" s="1"/>
  <c r="X361" i="2" s="1"/>
  <c r="AC361" i="2"/>
  <c r="Q360" i="2"/>
  <c r="S360" i="2" s="1"/>
  <c r="X360" i="2" s="1"/>
  <c r="AC360" i="2"/>
  <c r="AC359" i="2"/>
  <c r="Q359" i="2"/>
  <c r="S359" i="2" s="1"/>
  <c r="X359" i="2" s="1"/>
  <c r="Q358" i="2"/>
  <c r="S358" i="2" s="1"/>
  <c r="X358" i="2" s="1"/>
  <c r="AC358" i="2"/>
  <c r="AC357" i="2"/>
  <c r="Q357" i="2"/>
  <c r="S357" i="2" s="1"/>
  <c r="X357" i="2" s="1"/>
  <c r="AC356" i="2"/>
  <c r="Q356" i="2"/>
  <c r="S356" i="2" s="1"/>
  <c r="X356" i="2" s="1"/>
  <c r="AC355" i="2"/>
  <c r="Q355" i="2"/>
  <c r="S355" i="2" s="1"/>
  <c r="X355" i="2" s="1"/>
  <c r="AC354" i="2"/>
  <c r="Q354" i="2"/>
  <c r="S354" i="2" s="1"/>
  <c r="X354" i="2" s="1"/>
  <c r="AC353" i="2"/>
  <c r="Q353" i="2"/>
  <c r="S353" i="2" s="1"/>
  <c r="X353" i="2" s="1"/>
  <c r="AC352" i="2"/>
  <c r="Q352" i="2"/>
  <c r="S352" i="2" s="1"/>
  <c r="X352" i="2" s="1"/>
  <c r="AC351" i="2"/>
  <c r="Q351" i="2"/>
  <c r="S351" i="2" s="1"/>
  <c r="X351" i="2" s="1"/>
  <c r="AC350" i="2"/>
  <c r="Q350" i="2"/>
  <c r="S350" i="2" s="1"/>
  <c r="X350" i="2" s="1"/>
  <c r="AC349" i="2"/>
  <c r="Q349" i="2"/>
  <c r="S349" i="2" s="1"/>
  <c r="X349" i="2" s="1"/>
  <c r="Q348" i="2"/>
  <c r="S348" i="2" s="1"/>
  <c r="X348" i="2" s="1"/>
  <c r="AC348" i="2"/>
  <c r="AC347" i="2"/>
  <c r="Q347" i="2"/>
  <c r="S347" i="2" s="1"/>
  <c r="X347" i="2" s="1"/>
  <c r="AC346" i="2"/>
  <c r="Q346" i="2"/>
  <c r="S346" i="2" s="1"/>
  <c r="X346" i="2" s="1"/>
  <c r="Q345" i="2"/>
  <c r="S345" i="2" s="1"/>
  <c r="X345" i="2" s="1"/>
  <c r="AC345" i="2"/>
  <c r="AC344" i="2"/>
  <c r="Q344" i="2"/>
  <c r="S344" i="2" s="1"/>
  <c r="X344" i="2" s="1"/>
  <c r="AC343" i="2"/>
  <c r="Q343" i="2"/>
  <c r="S343" i="2" s="1"/>
  <c r="X343" i="2" s="1"/>
  <c r="AC342" i="2"/>
  <c r="Q342" i="2"/>
  <c r="S342" i="2" s="1"/>
  <c r="X342" i="2" s="1"/>
  <c r="AC341" i="2"/>
  <c r="Q341" i="2"/>
  <c r="S341" i="2" s="1"/>
  <c r="X341" i="2" s="1"/>
  <c r="AC340" i="2"/>
  <c r="Q340" i="2"/>
  <c r="S340" i="2" s="1"/>
  <c r="X340" i="2" s="1"/>
  <c r="Q339" i="2"/>
  <c r="S339" i="2" s="1"/>
  <c r="X339" i="2" s="1"/>
  <c r="AC339" i="2"/>
  <c r="Q338" i="2"/>
  <c r="S338" i="2" s="1"/>
  <c r="X338" i="2" s="1"/>
  <c r="AC338" i="2"/>
  <c r="Q337" i="2"/>
  <c r="S337" i="2" s="1"/>
  <c r="X337" i="2" s="1"/>
  <c r="AC337" i="2"/>
  <c r="Q336" i="2"/>
  <c r="S336" i="2" s="1"/>
  <c r="X336" i="2" s="1"/>
  <c r="AC336" i="2"/>
  <c r="Q335" i="2"/>
  <c r="S335" i="2" s="1"/>
  <c r="X335" i="2" s="1"/>
  <c r="AC335" i="2"/>
  <c r="AC334" i="2"/>
  <c r="Q334" i="2"/>
  <c r="S334" i="2" s="1"/>
  <c r="X334" i="2" s="1"/>
  <c r="AC333" i="2"/>
  <c r="Q333" i="2"/>
  <c r="S333" i="2" s="1"/>
  <c r="X333" i="2" s="1"/>
  <c r="AC332" i="2"/>
  <c r="Q332" i="2"/>
  <c r="S332" i="2" s="1"/>
  <c r="X332" i="2" s="1"/>
  <c r="AC331" i="2"/>
  <c r="Q331" i="2"/>
  <c r="S331" i="2" s="1"/>
  <c r="X331" i="2" s="1"/>
  <c r="Q330" i="2"/>
  <c r="S330" i="2" s="1"/>
  <c r="X330" i="2" s="1"/>
  <c r="AC330" i="2"/>
  <c r="Q329" i="2"/>
  <c r="S329" i="2" s="1"/>
  <c r="X329" i="2" s="1"/>
  <c r="AC329" i="2"/>
  <c r="AC328" i="2"/>
  <c r="Q328" i="2"/>
  <c r="S328" i="2" s="1"/>
  <c r="X328" i="2" s="1"/>
  <c r="Q327" i="2"/>
  <c r="S327" i="2" s="1"/>
  <c r="X327" i="2" s="1"/>
  <c r="AC327" i="2"/>
  <c r="AC326" i="2"/>
  <c r="Q326" i="2"/>
  <c r="S326" i="2" s="1"/>
  <c r="X326" i="2" s="1"/>
  <c r="Q325" i="2"/>
  <c r="S325" i="2" s="1"/>
  <c r="X325" i="2" s="1"/>
  <c r="AC325" i="2"/>
  <c r="Q324" i="2"/>
  <c r="S324" i="2" s="1"/>
  <c r="X324" i="2" s="1"/>
  <c r="AC324" i="2"/>
  <c r="AC323" i="2"/>
  <c r="Q323" i="2"/>
  <c r="S323" i="2" s="1"/>
  <c r="X323" i="2" s="1"/>
  <c r="AC322" i="2"/>
  <c r="Q322" i="2"/>
  <c r="S322" i="2" s="1"/>
  <c r="X322" i="2" s="1"/>
  <c r="AC321" i="2"/>
  <c r="Q321" i="2"/>
  <c r="S321" i="2" s="1"/>
  <c r="X321" i="2" s="1"/>
  <c r="Q320" i="2"/>
  <c r="S320" i="2" s="1"/>
  <c r="X320" i="2" s="1"/>
  <c r="AC320" i="2"/>
  <c r="AC319" i="2"/>
  <c r="Q319" i="2"/>
  <c r="S319" i="2" s="1"/>
  <c r="X319" i="2" s="1"/>
  <c r="AC318" i="2"/>
  <c r="Q318" i="2"/>
  <c r="S318" i="2" s="1"/>
  <c r="X318" i="2" s="1"/>
  <c r="Q317" i="2"/>
  <c r="S317" i="2" s="1"/>
  <c r="X317" i="2" s="1"/>
  <c r="AC317" i="2"/>
  <c r="Q316" i="2"/>
  <c r="S316" i="2" s="1"/>
  <c r="X316" i="2" s="1"/>
  <c r="AC316" i="2"/>
  <c r="Q315" i="2"/>
  <c r="S315" i="2" s="1"/>
  <c r="X315" i="2" s="1"/>
  <c r="AC315" i="2"/>
  <c r="Q314" i="2"/>
  <c r="S314" i="2" s="1"/>
  <c r="X314" i="2" s="1"/>
  <c r="AC314" i="2"/>
  <c r="Q313" i="2"/>
  <c r="S313" i="2" s="1"/>
  <c r="X313" i="2" s="1"/>
  <c r="AC313" i="2"/>
  <c r="Q312" i="2"/>
  <c r="S312" i="2" s="1"/>
  <c r="X312" i="2" s="1"/>
  <c r="AC312" i="2"/>
  <c r="Q311" i="2"/>
  <c r="S311" i="2" s="1"/>
  <c r="X311" i="2" s="1"/>
  <c r="AC311" i="2"/>
  <c r="AC310" i="2"/>
  <c r="Q310" i="2"/>
  <c r="S310" i="2" s="1"/>
  <c r="X310" i="2" s="1"/>
  <c r="AC309" i="2"/>
  <c r="Q309" i="2"/>
  <c r="S309" i="2" s="1"/>
  <c r="X309" i="2" s="1"/>
  <c r="AC308" i="2"/>
  <c r="Q308" i="2"/>
  <c r="S308" i="2" s="1"/>
  <c r="X308" i="2" s="1"/>
  <c r="AC307" i="2"/>
  <c r="Q307" i="2"/>
  <c r="S307" i="2" s="1"/>
  <c r="X307" i="2" s="1"/>
  <c r="AC306" i="2"/>
  <c r="Q306" i="2"/>
  <c r="S306" i="2" s="1"/>
  <c r="X306" i="2" s="1"/>
  <c r="Q305" i="2"/>
  <c r="S305" i="2" s="1"/>
  <c r="X305" i="2" s="1"/>
  <c r="AC305" i="2"/>
  <c r="Q304" i="2"/>
  <c r="S304" i="2" s="1"/>
  <c r="X304" i="2" s="1"/>
  <c r="AC304" i="2"/>
  <c r="Q303" i="2"/>
  <c r="S303" i="2" s="1"/>
  <c r="X303" i="2" s="1"/>
  <c r="AC303" i="2"/>
  <c r="Q302" i="2"/>
  <c r="S302" i="2" s="1"/>
  <c r="X302" i="2" s="1"/>
  <c r="AC302" i="2"/>
  <c r="AC301" i="2"/>
  <c r="Q301" i="2"/>
  <c r="S301" i="2" s="1"/>
  <c r="X301" i="2" s="1"/>
  <c r="Q300" i="2"/>
  <c r="S300" i="2" s="1"/>
  <c r="X300" i="2" s="1"/>
  <c r="AC300" i="2"/>
  <c r="Q299" i="2"/>
  <c r="S299" i="2" s="1"/>
  <c r="X299" i="2" s="1"/>
  <c r="AC299" i="2"/>
  <c r="AC298" i="2"/>
  <c r="Q298" i="2"/>
  <c r="S298" i="2" s="1"/>
  <c r="X298" i="2" s="1"/>
  <c r="AC297" i="2"/>
  <c r="Q297" i="2"/>
  <c r="S297" i="2" s="1"/>
  <c r="X297" i="2" s="1"/>
  <c r="AC296" i="2"/>
  <c r="Q296" i="2"/>
  <c r="S296" i="2" s="1"/>
  <c r="X296" i="2" s="1"/>
  <c r="Q295" i="2"/>
  <c r="S295" i="2" s="1"/>
  <c r="X295" i="2" s="1"/>
  <c r="AC295" i="2"/>
  <c r="AC294" i="2"/>
  <c r="Q294" i="2"/>
  <c r="S294" i="2" s="1"/>
  <c r="X294" i="2" s="1"/>
  <c r="AC293" i="2"/>
  <c r="Q293" i="2"/>
  <c r="S293" i="2" s="1"/>
  <c r="X293" i="2" s="1"/>
  <c r="AC292" i="2"/>
  <c r="Q292" i="2"/>
  <c r="S292" i="2" s="1"/>
  <c r="X292" i="2" s="1"/>
  <c r="Q291" i="2"/>
  <c r="S291" i="2" s="1"/>
  <c r="X291" i="2" s="1"/>
  <c r="AC291" i="2"/>
  <c r="Q290" i="2"/>
  <c r="S290" i="2" s="1"/>
  <c r="X290" i="2" s="1"/>
  <c r="AC290" i="2"/>
  <c r="Q289" i="2"/>
  <c r="S289" i="2" s="1"/>
  <c r="X289" i="2" s="1"/>
  <c r="AC289" i="2"/>
  <c r="Q288" i="2"/>
  <c r="S288" i="2" s="1"/>
  <c r="X288" i="2" s="1"/>
  <c r="AC288" i="2"/>
  <c r="Q287" i="2"/>
  <c r="S287" i="2" s="1"/>
  <c r="X287" i="2" s="1"/>
  <c r="AC287" i="2"/>
  <c r="Q286" i="2"/>
  <c r="S286" i="2" s="1"/>
  <c r="X286" i="2" s="1"/>
  <c r="AC286" i="2"/>
  <c r="Q285" i="2"/>
  <c r="S285" i="2" s="1"/>
  <c r="X285" i="2" s="1"/>
  <c r="AC285" i="2"/>
  <c r="AC284" i="2"/>
  <c r="Q284" i="2"/>
  <c r="S284" i="2" s="1"/>
  <c r="X284" i="2" s="1"/>
  <c r="AC283" i="2"/>
  <c r="Q283" i="2"/>
  <c r="S283" i="2" s="1"/>
  <c r="X283" i="2" s="1"/>
  <c r="AC282" i="2"/>
  <c r="Q282" i="2"/>
  <c r="S282" i="2" s="1"/>
  <c r="X282" i="2" s="1"/>
  <c r="Q281" i="2"/>
  <c r="S281" i="2" s="1"/>
  <c r="X281" i="2" s="1"/>
  <c r="AC281" i="2"/>
  <c r="AC280" i="2"/>
  <c r="Q280" i="2"/>
  <c r="S280" i="2" s="1"/>
  <c r="X280" i="2" s="1"/>
  <c r="Q279" i="2"/>
  <c r="S279" i="2" s="1"/>
  <c r="X279" i="2" s="1"/>
  <c r="AC279" i="2"/>
  <c r="AC278" i="2"/>
  <c r="Q278" i="2"/>
  <c r="S278" i="2" s="1"/>
  <c r="X278" i="2" s="1"/>
  <c r="Q277" i="2"/>
  <c r="S277" i="2" s="1"/>
  <c r="X277" i="2" s="1"/>
  <c r="AC277" i="2"/>
  <c r="AC276" i="2"/>
  <c r="Q276" i="2"/>
  <c r="S276" i="2" s="1"/>
  <c r="X276" i="2" s="1"/>
  <c r="AC275" i="2"/>
  <c r="Q275" i="2"/>
  <c r="S275" i="2" s="1"/>
  <c r="X275" i="2" s="1"/>
  <c r="AC274" i="2"/>
  <c r="Q274" i="2"/>
  <c r="S274" i="2" s="1"/>
  <c r="X274" i="2" s="1"/>
  <c r="AC273" i="2"/>
  <c r="Q273" i="2"/>
  <c r="S273" i="2" s="1"/>
  <c r="X273" i="2" s="1"/>
  <c r="AC272" i="2"/>
  <c r="Q272" i="2"/>
  <c r="S272" i="2" s="1"/>
  <c r="X272" i="2" s="1"/>
  <c r="AC271" i="2"/>
  <c r="Q271" i="2"/>
  <c r="S271" i="2" s="1"/>
  <c r="X271" i="2" s="1"/>
  <c r="AC270" i="2"/>
  <c r="Q270" i="2"/>
  <c r="S270" i="2" s="1"/>
  <c r="X270" i="2" s="1"/>
  <c r="Q269" i="2"/>
  <c r="S269" i="2" s="1"/>
  <c r="X269" i="2" s="1"/>
  <c r="AC269" i="2"/>
  <c r="AC268" i="2"/>
  <c r="Q268" i="2"/>
  <c r="S268" i="2" s="1"/>
  <c r="X268" i="2" s="1"/>
  <c r="Q267" i="2"/>
  <c r="S267" i="2" s="1"/>
  <c r="X267" i="2" s="1"/>
  <c r="AC267" i="2"/>
  <c r="Q266" i="2"/>
  <c r="S266" i="2" s="1"/>
  <c r="X266" i="2" s="1"/>
  <c r="AC266" i="2"/>
  <c r="AC265" i="2"/>
  <c r="Q265" i="2"/>
  <c r="S265" i="2" s="1"/>
  <c r="X265" i="2" s="1"/>
  <c r="Q264" i="2"/>
  <c r="S264" i="2" s="1"/>
  <c r="X264" i="2" s="1"/>
  <c r="AC264" i="2"/>
  <c r="AC263" i="2"/>
  <c r="Q263" i="2"/>
  <c r="S263" i="2" s="1"/>
  <c r="X263" i="2" s="1"/>
  <c r="AC262" i="2"/>
  <c r="Q262" i="2"/>
  <c r="S262" i="2" s="1"/>
  <c r="X262" i="2" s="1"/>
  <c r="Q261" i="2"/>
  <c r="S261" i="2" s="1"/>
  <c r="X261" i="2" s="1"/>
  <c r="AC261" i="2"/>
  <c r="Q260" i="2"/>
  <c r="S260" i="2" s="1"/>
  <c r="X260" i="2" s="1"/>
  <c r="AC260" i="2"/>
  <c r="AC259" i="2"/>
  <c r="Q259" i="2"/>
  <c r="S259" i="2" s="1"/>
  <c r="X259" i="2" s="1"/>
  <c r="AC258" i="2"/>
  <c r="Q258" i="2"/>
  <c r="S258" i="2" s="1"/>
  <c r="X258" i="2" s="1"/>
  <c r="AC257" i="2"/>
  <c r="Q257" i="2"/>
  <c r="S257" i="2" s="1"/>
  <c r="X257" i="2" s="1"/>
  <c r="Q256" i="2"/>
  <c r="S256" i="2" s="1"/>
  <c r="X256" i="2" s="1"/>
  <c r="AC256" i="2"/>
  <c r="Q255" i="2"/>
  <c r="S255" i="2" s="1"/>
  <c r="X255" i="2" s="1"/>
  <c r="AC255" i="2"/>
  <c r="Q254" i="2"/>
  <c r="S254" i="2" s="1"/>
  <c r="X254" i="2" s="1"/>
  <c r="AC254" i="2"/>
  <c r="AC253" i="2"/>
  <c r="Q253" i="2"/>
  <c r="S253" i="2" s="1"/>
  <c r="X253" i="2" s="1"/>
  <c r="AC252" i="2"/>
  <c r="Q252" i="2"/>
  <c r="S252" i="2" s="1"/>
  <c r="X252" i="2" s="1"/>
  <c r="AC251" i="2"/>
  <c r="Q251" i="2"/>
  <c r="S251" i="2" s="1"/>
  <c r="X251" i="2" s="1"/>
  <c r="AC250" i="2"/>
  <c r="Q250" i="2"/>
  <c r="S250" i="2" s="1"/>
  <c r="X250" i="2" s="1"/>
  <c r="AC249" i="2"/>
  <c r="Q249" i="2"/>
  <c r="S249" i="2" s="1"/>
  <c r="X249" i="2" s="1"/>
  <c r="AC248" i="2"/>
  <c r="Q248" i="2"/>
  <c r="S248" i="2" s="1"/>
  <c r="X248" i="2" s="1"/>
  <c r="AC247" i="2"/>
  <c r="Q247" i="2"/>
  <c r="S247" i="2" s="1"/>
  <c r="X247" i="2" s="1"/>
  <c r="AC246" i="2"/>
  <c r="Q246" i="2"/>
  <c r="S246" i="2" s="1"/>
  <c r="X246" i="2" s="1"/>
  <c r="AC245" i="2"/>
  <c r="Q245" i="2"/>
  <c r="S245" i="2" s="1"/>
  <c r="X245" i="2" s="1"/>
  <c r="Q244" i="2"/>
  <c r="S244" i="2" s="1"/>
  <c r="X244" i="2" s="1"/>
  <c r="AC244" i="2"/>
  <c r="AC243" i="2"/>
  <c r="Q243" i="2"/>
  <c r="S243" i="2" s="1"/>
  <c r="X243" i="2" s="1"/>
  <c r="Q242" i="2"/>
  <c r="S242" i="2" s="1"/>
  <c r="X242" i="2" s="1"/>
  <c r="AC242" i="2"/>
  <c r="AC241" i="2"/>
  <c r="Q241" i="2"/>
  <c r="S241" i="2" s="1"/>
  <c r="X241" i="2" s="1"/>
  <c r="AC240" i="2"/>
  <c r="Q240" i="2"/>
  <c r="S240" i="2" s="1"/>
  <c r="X240" i="2" s="1"/>
  <c r="AC239" i="2"/>
  <c r="Q239" i="2"/>
  <c r="S239" i="2" s="1"/>
  <c r="X239" i="2" s="1"/>
  <c r="AC238" i="2"/>
  <c r="Q238" i="2"/>
  <c r="S238" i="2" s="1"/>
  <c r="X238" i="2" s="1"/>
  <c r="AC237" i="2"/>
  <c r="Q237" i="2"/>
  <c r="S237" i="2" s="1"/>
  <c r="X237" i="2" s="1"/>
  <c r="AC236" i="2"/>
  <c r="Q236" i="2"/>
  <c r="S236" i="2" s="1"/>
  <c r="X236" i="2" s="1"/>
  <c r="Q235" i="2"/>
  <c r="S235" i="2" s="1"/>
  <c r="X235" i="2" s="1"/>
  <c r="AC235" i="2"/>
  <c r="AC234" i="2"/>
  <c r="Q234" i="2"/>
  <c r="S234" i="2" s="1"/>
  <c r="X234" i="2" s="1"/>
  <c r="Q233" i="2"/>
  <c r="S233" i="2" s="1"/>
  <c r="X233" i="2" s="1"/>
  <c r="AC233" i="2"/>
  <c r="AC232" i="2"/>
  <c r="Q232" i="2"/>
  <c r="S232" i="2" s="1"/>
  <c r="X232" i="2" s="1"/>
  <c r="AC231" i="2"/>
  <c r="Q231" i="2"/>
  <c r="S231" i="2" s="1"/>
  <c r="X231" i="2" s="1"/>
  <c r="AC230" i="2"/>
  <c r="Q230" i="2"/>
  <c r="S230" i="2" s="1"/>
  <c r="X230" i="2" s="1"/>
  <c r="AC229" i="2"/>
  <c r="Q229" i="2"/>
  <c r="S229" i="2" s="1"/>
  <c r="X229" i="2" s="1"/>
  <c r="AC228" i="2"/>
  <c r="Q228" i="2"/>
  <c r="S228" i="2" s="1"/>
  <c r="X228" i="2" s="1"/>
  <c r="AC227" i="2"/>
  <c r="Q227" i="2"/>
  <c r="S227" i="2" s="1"/>
  <c r="X227" i="2" s="1"/>
  <c r="Q226" i="2"/>
  <c r="S226" i="2" s="1"/>
  <c r="X226" i="2" s="1"/>
  <c r="AC226" i="2"/>
  <c r="AC225" i="2"/>
  <c r="Q225" i="2"/>
  <c r="S225" i="2" s="1"/>
  <c r="X225" i="2" s="1"/>
  <c r="AC224" i="2"/>
  <c r="Q224" i="2"/>
  <c r="S224" i="2" s="1"/>
  <c r="X224" i="2" s="1"/>
  <c r="AC223" i="2"/>
  <c r="Q223" i="2"/>
  <c r="S223" i="2" s="1"/>
  <c r="X223" i="2" s="1"/>
  <c r="AC222" i="2"/>
  <c r="Q222" i="2"/>
  <c r="S222" i="2" s="1"/>
  <c r="X222" i="2" s="1"/>
  <c r="AC221" i="2"/>
  <c r="Q221" i="2"/>
  <c r="S221" i="2" s="1"/>
  <c r="X221" i="2" s="1"/>
  <c r="AC220" i="2"/>
  <c r="Q220" i="2"/>
  <c r="S220" i="2" s="1"/>
  <c r="X220" i="2" s="1"/>
  <c r="AC219" i="2"/>
  <c r="Q219" i="2"/>
  <c r="S219" i="2" s="1"/>
  <c r="X219" i="2" s="1"/>
  <c r="Q218" i="2"/>
  <c r="S218" i="2" s="1"/>
  <c r="X218" i="2" s="1"/>
  <c r="AC218" i="2"/>
  <c r="Q217" i="2"/>
  <c r="S217" i="2" s="1"/>
  <c r="X217" i="2" s="1"/>
  <c r="AC217" i="2"/>
  <c r="AC216" i="2"/>
  <c r="Q216" i="2"/>
  <c r="S216" i="2" s="1"/>
  <c r="X216" i="2" s="1"/>
  <c r="Q215" i="2"/>
  <c r="S215" i="2" s="1"/>
  <c r="X215" i="2" s="1"/>
  <c r="AC215" i="2"/>
  <c r="Q214" i="2"/>
  <c r="S214" i="2" s="1"/>
  <c r="X214" i="2" s="1"/>
  <c r="AC214" i="2"/>
  <c r="AC213" i="2"/>
  <c r="Q213" i="2"/>
  <c r="S213" i="2" s="1"/>
  <c r="X213" i="2" s="1"/>
  <c r="Q212" i="2"/>
  <c r="S212" i="2" s="1"/>
  <c r="X212" i="2" s="1"/>
  <c r="AC212" i="2"/>
  <c r="AC210" i="2"/>
  <c r="Q210" i="2"/>
  <c r="S210" i="2" s="1"/>
  <c r="X210" i="2" s="1"/>
  <c r="AC209" i="2"/>
  <c r="Q209" i="2"/>
  <c r="S209" i="2" s="1"/>
  <c r="X209" i="2" s="1"/>
  <c r="AC208" i="2"/>
  <c r="Q208" i="2"/>
  <c r="S208" i="2" s="1"/>
  <c r="X208" i="2" s="1"/>
  <c r="AC207" i="2"/>
  <c r="Q207" i="2"/>
  <c r="S207" i="2" s="1"/>
  <c r="X207" i="2" s="1"/>
  <c r="AC206" i="2"/>
  <c r="Q206" i="2"/>
  <c r="S206" i="2" s="1"/>
  <c r="X206" i="2" s="1"/>
  <c r="Q205" i="2"/>
  <c r="S205" i="2" s="1"/>
  <c r="X205" i="2" s="1"/>
  <c r="AC205" i="2"/>
  <c r="Q204" i="2"/>
  <c r="S204" i="2" s="1"/>
  <c r="X204" i="2" s="1"/>
  <c r="AC204" i="2"/>
  <c r="Q203" i="2"/>
  <c r="S203" i="2" s="1"/>
  <c r="X203" i="2" s="1"/>
  <c r="AC203" i="2"/>
  <c r="Q202" i="2"/>
  <c r="S202" i="2" s="1"/>
  <c r="X202" i="2" s="1"/>
  <c r="AC202" i="2"/>
  <c r="Q201" i="2"/>
  <c r="S201" i="2" s="1"/>
  <c r="X201" i="2" s="1"/>
  <c r="AC201" i="2"/>
  <c r="Q200" i="2"/>
  <c r="S200" i="2" s="1"/>
  <c r="X200" i="2" s="1"/>
  <c r="AC200" i="2"/>
  <c r="Q199" i="2"/>
  <c r="S199" i="2" s="1"/>
  <c r="X199" i="2" s="1"/>
  <c r="AC199" i="2"/>
  <c r="AC198" i="2"/>
  <c r="Q198" i="2"/>
  <c r="S198" i="2" s="1"/>
  <c r="X198" i="2" s="1"/>
  <c r="AC197" i="2"/>
  <c r="Q197" i="2"/>
  <c r="S197" i="2" s="1"/>
  <c r="X197" i="2" s="1"/>
  <c r="AC196" i="2"/>
  <c r="Q196" i="2"/>
  <c r="S196" i="2" s="1"/>
  <c r="X196" i="2" s="1"/>
  <c r="AC195" i="2"/>
  <c r="Q195" i="2"/>
  <c r="S195" i="2" s="1"/>
  <c r="X195" i="2" s="1"/>
  <c r="Q194" i="2"/>
  <c r="S194" i="2" s="1"/>
  <c r="X194" i="2" s="1"/>
  <c r="AC194" i="2"/>
  <c r="AC193" i="2"/>
  <c r="Q193" i="2"/>
  <c r="S193" i="2" s="1"/>
  <c r="X193" i="2" s="1"/>
  <c r="AC192" i="2"/>
  <c r="Q192" i="2"/>
  <c r="S192" i="2" s="1"/>
  <c r="X192" i="2" s="1"/>
  <c r="AC191" i="2"/>
  <c r="Q191" i="2"/>
  <c r="S191" i="2" s="1"/>
  <c r="X191" i="2" s="1"/>
  <c r="AC190" i="2"/>
  <c r="Q190" i="2"/>
  <c r="S190" i="2" s="1"/>
  <c r="X190" i="2" s="1"/>
  <c r="AC189" i="2"/>
  <c r="Q189" i="2"/>
  <c r="S189" i="2" s="1"/>
  <c r="X189" i="2" s="1"/>
  <c r="AC188" i="2"/>
  <c r="Q188" i="2"/>
  <c r="S188" i="2" s="1"/>
  <c r="X188" i="2" s="1"/>
  <c r="Q187" i="2"/>
  <c r="S187" i="2" s="1"/>
  <c r="X187" i="2" s="1"/>
  <c r="AC187" i="2"/>
  <c r="AC186" i="2"/>
  <c r="Q186" i="2"/>
  <c r="S186" i="2" s="1"/>
  <c r="X186" i="2" s="1"/>
  <c r="Q185" i="2"/>
  <c r="S185" i="2" s="1"/>
  <c r="X185" i="2" s="1"/>
  <c r="AC185" i="2"/>
  <c r="AC184" i="2"/>
  <c r="Q184" i="2"/>
  <c r="S184" i="2" s="1"/>
  <c r="X184" i="2" s="1"/>
  <c r="Q183" i="2"/>
  <c r="S183" i="2" s="1"/>
  <c r="X183" i="2" s="1"/>
  <c r="AC183" i="2"/>
  <c r="Q182" i="2"/>
  <c r="S182" i="2" s="1"/>
  <c r="X182" i="2" s="1"/>
  <c r="AC182" i="2"/>
  <c r="Q181" i="2"/>
  <c r="S181" i="2" s="1"/>
  <c r="X181" i="2" s="1"/>
  <c r="AC181" i="2"/>
  <c r="AC180" i="2"/>
  <c r="Q180" i="2"/>
  <c r="S180" i="2" s="1"/>
  <c r="X180" i="2" s="1"/>
  <c r="Q179" i="2"/>
  <c r="S179" i="2" s="1"/>
  <c r="X179" i="2" s="1"/>
  <c r="AC179" i="2"/>
  <c r="Q178" i="2"/>
  <c r="S178" i="2" s="1"/>
  <c r="X178" i="2" s="1"/>
  <c r="AC178" i="2"/>
  <c r="Q177" i="2"/>
  <c r="S177" i="2" s="1"/>
  <c r="X177" i="2" s="1"/>
  <c r="AC177" i="2"/>
  <c r="Q176" i="2"/>
  <c r="S176" i="2" s="1"/>
  <c r="X176" i="2" s="1"/>
  <c r="AC176" i="2"/>
  <c r="AC175" i="2"/>
  <c r="Q175" i="2"/>
  <c r="S175" i="2" s="1"/>
  <c r="X175" i="2" s="1"/>
  <c r="AC174" i="2"/>
  <c r="Q174" i="2"/>
  <c r="S174" i="2" s="1"/>
  <c r="X174" i="2" s="1"/>
  <c r="AC173" i="2"/>
  <c r="Q173" i="2"/>
  <c r="S173" i="2" s="1"/>
  <c r="X173" i="2" s="1"/>
  <c r="AC172" i="2"/>
  <c r="Q172" i="2"/>
  <c r="S172" i="2" s="1"/>
  <c r="X172" i="2" s="1"/>
  <c r="AC171" i="2"/>
  <c r="Q171" i="2"/>
  <c r="S171" i="2" s="1"/>
  <c r="X171" i="2" s="1"/>
  <c r="AC170" i="2"/>
  <c r="Q170" i="2"/>
  <c r="S170" i="2" s="1"/>
  <c r="X170" i="2" s="1"/>
  <c r="AC169" i="2"/>
  <c r="Q169" i="2"/>
  <c r="S169" i="2" s="1"/>
  <c r="X169" i="2" s="1"/>
  <c r="AC168" i="2"/>
  <c r="Q168" i="2"/>
  <c r="S168" i="2" s="1"/>
  <c r="X168" i="2" s="1"/>
  <c r="AC167" i="2"/>
  <c r="Q167" i="2"/>
  <c r="S167" i="2" s="1"/>
  <c r="X167" i="2" s="1"/>
  <c r="AC166" i="2"/>
  <c r="Q166" i="2"/>
  <c r="S166" i="2" s="1"/>
  <c r="X166" i="2" s="1"/>
  <c r="AC165" i="2"/>
  <c r="Q165" i="2"/>
  <c r="S165" i="2" s="1"/>
  <c r="X165" i="2" s="1"/>
  <c r="AC164" i="2"/>
  <c r="Q164" i="2"/>
  <c r="S164" i="2" s="1"/>
  <c r="X164" i="2" s="1"/>
  <c r="AC163" i="2"/>
  <c r="Q163" i="2"/>
  <c r="S163" i="2" s="1"/>
  <c r="X163" i="2" s="1"/>
  <c r="Q162" i="2"/>
  <c r="S162" i="2" s="1"/>
  <c r="X162" i="2" s="1"/>
  <c r="AC162" i="2"/>
  <c r="Q161" i="2"/>
  <c r="S161" i="2" s="1"/>
  <c r="X161" i="2" s="1"/>
  <c r="AC161" i="2"/>
  <c r="Q160" i="2"/>
  <c r="S160" i="2" s="1"/>
  <c r="X160" i="2" s="1"/>
  <c r="AC160" i="2"/>
  <c r="Q159" i="2"/>
  <c r="S159" i="2" s="1"/>
  <c r="X159" i="2" s="1"/>
  <c r="AC159" i="2"/>
  <c r="Q158" i="2"/>
  <c r="S158" i="2" s="1"/>
  <c r="X158" i="2" s="1"/>
  <c r="AC158" i="2"/>
  <c r="AC157" i="2"/>
  <c r="Q157" i="2"/>
  <c r="S157" i="2" s="1"/>
  <c r="X157" i="2" s="1"/>
  <c r="Q156" i="2"/>
  <c r="S156" i="2" s="1"/>
  <c r="X156" i="2" s="1"/>
  <c r="AC156" i="2"/>
  <c r="Q155" i="2"/>
  <c r="S155" i="2" s="1"/>
  <c r="X155" i="2" s="1"/>
  <c r="AC155" i="2"/>
  <c r="Q154" i="2"/>
  <c r="S154" i="2" s="1"/>
  <c r="X154" i="2" s="1"/>
  <c r="AC154" i="2"/>
  <c r="AC153" i="2"/>
  <c r="Q153" i="2"/>
  <c r="S153" i="2" s="1"/>
  <c r="X153" i="2" s="1"/>
  <c r="Q152" i="2"/>
  <c r="S152" i="2" s="1"/>
  <c r="X152" i="2" s="1"/>
  <c r="AC152" i="2"/>
  <c r="AC151" i="2"/>
  <c r="Q151" i="2"/>
  <c r="S151" i="2" s="1"/>
  <c r="X151" i="2" s="1"/>
  <c r="AC150" i="2"/>
  <c r="Q150" i="2"/>
  <c r="S150" i="2" s="1"/>
  <c r="X150" i="2" s="1"/>
  <c r="Q149" i="2"/>
  <c r="S149" i="2" s="1"/>
  <c r="X149" i="2" s="1"/>
  <c r="AC149" i="2"/>
  <c r="AC148" i="2"/>
  <c r="Q148" i="2"/>
  <c r="S148" i="2" s="1"/>
  <c r="X148" i="2" s="1"/>
  <c r="Q147" i="2"/>
  <c r="S147" i="2" s="1"/>
  <c r="X147" i="2" s="1"/>
  <c r="AC147" i="2"/>
  <c r="Q146" i="2"/>
  <c r="S146" i="2" s="1"/>
  <c r="X146" i="2" s="1"/>
  <c r="AC146" i="2"/>
  <c r="AC145" i="2"/>
  <c r="Q145" i="2"/>
  <c r="S145" i="2" s="1"/>
  <c r="X145" i="2" s="1"/>
  <c r="Q144" i="2"/>
  <c r="S144" i="2" s="1"/>
  <c r="X144" i="2" s="1"/>
  <c r="AC144" i="2"/>
  <c r="Q143" i="2"/>
  <c r="S143" i="2" s="1"/>
  <c r="X143" i="2" s="1"/>
  <c r="AC143" i="2"/>
  <c r="Q141" i="2"/>
  <c r="S141" i="2" s="1"/>
  <c r="X141" i="2" s="1"/>
  <c r="AC141" i="2"/>
  <c r="Q140" i="2"/>
  <c r="S140" i="2" s="1"/>
  <c r="X140" i="2" s="1"/>
  <c r="AC140" i="2"/>
  <c r="AC139" i="2"/>
  <c r="Q139" i="2"/>
  <c r="S139" i="2" s="1"/>
  <c r="X139" i="2" s="1"/>
  <c r="AC138" i="2"/>
  <c r="Q138" i="2"/>
  <c r="S138" i="2" s="1"/>
  <c r="X138" i="2" s="1"/>
  <c r="Q137" i="2"/>
  <c r="S137" i="2" s="1"/>
  <c r="X137" i="2" s="1"/>
  <c r="AC137" i="2"/>
  <c r="AC136" i="2"/>
  <c r="Q136" i="2"/>
  <c r="S136" i="2" s="1"/>
  <c r="X136" i="2" s="1"/>
  <c r="AC135" i="2"/>
  <c r="Q135" i="2"/>
  <c r="S135" i="2" s="1"/>
  <c r="X135" i="2" s="1"/>
  <c r="AC134" i="2"/>
  <c r="Q134" i="2"/>
  <c r="S134" i="2" s="1"/>
  <c r="X134" i="2" s="1"/>
  <c r="Q133" i="2"/>
  <c r="S133" i="2" s="1"/>
  <c r="X133" i="2" s="1"/>
  <c r="AC133" i="2"/>
  <c r="Q132" i="2"/>
  <c r="S132" i="2" s="1"/>
  <c r="X132" i="2" s="1"/>
  <c r="AC132" i="2"/>
  <c r="Q131" i="2"/>
  <c r="S131" i="2" s="1"/>
  <c r="X131" i="2" s="1"/>
  <c r="AC131" i="2"/>
  <c r="Q130" i="2"/>
  <c r="S130" i="2" s="1"/>
  <c r="X130" i="2" s="1"/>
  <c r="AC130" i="2"/>
  <c r="AC129" i="2"/>
  <c r="Q129" i="2"/>
  <c r="S129" i="2" s="1"/>
  <c r="X129" i="2" s="1"/>
  <c r="AC128" i="2"/>
  <c r="Q128" i="2"/>
  <c r="S128" i="2" s="1"/>
  <c r="X128" i="2" s="1"/>
  <c r="AC127" i="2"/>
  <c r="Q127" i="2"/>
  <c r="S127" i="2" s="1"/>
  <c r="X127" i="2" s="1"/>
  <c r="AC126" i="2"/>
  <c r="Q126" i="2"/>
  <c r="S126" i="2" s="1"/>
  <c r="X126" i="2" s="1"/>
  <c r="AC125" i="2"/>
  <c r="Q125" i="2"/>
  <c r="S125" i="2" s="1"/>
  <c r="X125" i="2" s="1"/>
  <c r="AC124" i="2"/>
  <c r="Q124" i="2"/>
  <c r="S124" i="2" s="1"/>
  <c r="X124" i="2" s="1"/>
  <c r="Q123" i="2"/>
  <c r="S123" i="2" s="1"/>
  <c r="X123" i="2" s="1"/>
  <c r="AC123" i="2"/>
  <c r="Q122" i="2"/>
  <c r="S122" i="2" s="1"/>
  <c r="X122" i="2" s="1"/>
  <c r="AC122" i="2"/>
  <c r="Q121" i="2"/>
  <c r="S121" i="2" s="1"/>
  <c r="X121" i="2" s="1"/>
  <c r="AC121" i="2"/>
  <c r="Q120" i="2"/>
  <c r="S120" i="2" s="1"/>
  <c r="X120" i="2" s="1"/>
  <c r="AC120" i="2"/>
  <c r="Q119" i="2"/>
  <c r="S119" i="2" s="1"/>
  <c r="X119" i="2" s="1"/>
  <c r="AC119" i="2"/>
  <c r="AC118" i="2"/>
  <c r="Q118" i="2"/>
  <c r="S118" i="2" s="1"/>
  <c r="X118" i="2" s="1"/>
  <c r="AC117" i="2"/>
  <c r="Q117" i="2"/>
  <c r="S117" i="2" s="1"/>
  <c r="X117" i="2" s="1"/>
  <c r="AC116" i="2"/>
  <c r="Q116" i="2"/>
  <c r="S116" i="2" s="1"/>
  <c r="X116" i="2" s="1"/>
  <c r="AC115" i="2"/>
  <c r="Q115" i="2"/>
  <c r="S115" i="2" s="1"/>
  <c r="X115" i="2" s="1"/>
  <c r="AC114" i="2"/>
  <c r="Q114" i="2"/>
  <c r="S114" i="2" s="1"/>
  <c r="X114" i="2" s="1"/>
  <c r="AC113" i="2"/>
  <c r="Q113" i="2"/>
  <c r="S113" i="2" s="1"/>
  <c r="X113" i="2" s="1"/>
  <c r="AC112" i="2"/>
  <c r="Q112" i="2"/>
  <c r="S112" i="2" s="1"/>
  <c r="X112" i="2" s="1"/>
  <c r="AC111" i="2"/>
  <c r="Q111" i="2"/>
  <c r="S111" i="2" s="1"/>
  <c r="X111" i="2" s="1"/>
  <c r="AC110" i="2"/>
  <c r="Q110" i="2"/>
  <c r="S110" i="2" s="1"/>
  <c r="X110" i="2" s="1"/>
  <c r="AC109" i="2"/>
  <c r="Q109" i="2"/>
  <c r="S109" i="2" s="1"/>
  <c r="X109" i="2" s="1"/>
  <c r="AC108" i="2"/>
  <c r="Q108" i="2"/>
  <c r="S108" i="2" s="1"/>
  <c r="X108" i="2" s="1"/>
  <c r="AC107" i="2"/>
  <c r="Q107" i="2"/>
  <c r="S107" i="2" s="1"/>
  <c r="X107" i="2" s="1"/>
  <c r="AC106" i="2"/>
  <c r="Q106" i="2"/>
  <c r="S106" i="2" s="1"/>
  <c r="X106" i="2" s="1"/>
  <c r="AC105" i="2"/>
  <c r="Q105" i="2"/>
  <c r="S105" i="2" s="1"/>
  <c r="X105" i="2" s="1"/>
  <c r="AC104" i="2"/>
  <c r="Q104" i="2"/>
  <c r="S104" i="2" s="1"/>
  <c r="X104" i="2" s="1"/>
  <c r="AC103" i="2"/>
  <c r="Q103" i="2"/>
  <c r="S103" i="2" s="1"/>
  <c r="X103" i="2" s="1"/>
  <c r="AC102" i="2"/>
  <c r="Q102" i="2"/>
  <c r="S102" i="2" s="1"/>
  <c r="X102" i="2" s="1"/>
  <c r="AC101" i="2"/>
  <c r="Q101" i="2"/>
  <c r="S101" i="2" s="1"/>
  <c r="X101" i="2" s="1"/>
  <c r="Q100" i="2"/>
  <c r="S100" i="2" s="1"/>
  <c r="X100" i="2" s="1"/>
  <c r="AC100" i="2"/>
  <c r="Q99" i="2"/>
  <c r="S99" i="2" s="1"/>
  <c r="X99" i="2" s="1"/>
  <c r="AC99" i="2"/>
  <c r="AC98" i="2"/>
  <c r="Q98" i="2"/>
  <c r="S98" i="2" s="1"/>
  <c r="X98" i="2" s="1"/>
  <c r="Q97" i="2"/>
  <c r="S97" i="2" s="1"/>
  <c r="X97" i="2" s="1"/>
  <c r="AC97" i="2"/>
  <c r="Q96" i="2"/>
  <c r="S96" i="2" s="1"/>
  <c r="X96" i="2" s="1"/>
  <c r="AC96" i="2"/>
  <c r="Q95" i="2"/>
  <c r="S95" i="2" s="1"/>
  <c r="X95" i="2" s="1"/>
  <c r="AC95" i="2"/>
  <c r="Q94" i="2"/>
  <c r="S94" i="2" s="1"/>
  <c r="X94" i="2" s="1"/>
  <c r="AC94" i="2"/>
  <c r="AC93" i="2"/>
  <c r="Q93" i="2"/>
  <c r="S93" i="2" s="1"/>
  <c r="X93" i="2" s="1"/>
  <c r="AC92" i="2"/>
  <c r="Q92" i="2"/>
  <c r="S92" i="2" s="1"/>
  <c r="X92" i="2" s="1"/>
  <c r="AC91" i="2"/>
  <c r="Q91" i="2"/>
  <c r="S91" i="2" s="1"/>
  <c r="X91" i="2" s="1"/>
  <c r="AC90" i="2"/>
  <c r="Q90" i="2"/>
  <c r="S90" i="2" s="1"/>
  <c r="X90" i="2" s="1"/>
  <c r="AC89" i="2"/>
  <c r="Q89" i="2"/>
  <c r="S89" i="2" s="1"/>
  <c r="X89" i="2" s="1"/>
  <c r="Q88" i="2"/>
  <c r="S88" i="2" s="1"/>
  <c r="X88" i="2" s="1"/>
  <c r="AC88" i="2"/>
  <c r="AC87" i="2"/>
  <c r="Q87" i="2"/>
  <c r="S87" i="2" s="1"/>
  <c r="X87" i="2" s="1"/>
  <c r="AC86" i="2"/>
  <c r="Q86" i="2"/>
  <c r="S86" i="2" s="1"/>
  <c r="X86" i="2" s="1"/>
  <c r="Q85" i="2"/>
  <c r="S85" i="2" s="1"/>
  <c r="X85" i="2" s="1"/>
  <c r="AC85" i="2"/>
  <c r="AC84" i="2"/>
  <c r="Q84" i="2"/>
  <c r="S84" i="2" s="1"/>
  <c r="X84" i="2" s="1"/>
  <c r="AC83" i="2"/>
  <c r="Q83" i="2"/>
  <c r="S83" i="2" s="1"/>
  <c r="X83" i="2" s="1"/>
  <c r="AC82" i="2"/>
  <c r="Q82" i="2"/>
  <c r="S82" i="2" s="1"/>
  <c r="X82" i="2" s="1"/>
  <c r="AC81" i="2"/>
  <c r="Q81" i="2"/>
  <c r="S81" i="2" s="1"/>
  <c r="X81" i="2" s="1"/>
  <c r="AC80" i="2"/>
  <c r="Q80" i="2"/>
  <c r="S80" i="2" s="1"/>
  <c r="X80" i="2" s="1"/>
  <c r="AC79" i="2"/>
  <c r="Q79" i="2"/>
  <c r="S79" i="2" s="1"/>
  <c r="X79" i="2" s="1"/>
  <c r="AC78" i="2"/>
  <c r="Q78" i="2"/>
  <c r="S78" i="2" s="1"/>
  <c r="X78" i="2" s="1"/>
  <c r="Q77" i="2"/>
  <c r="S77" i="2" s="1"/>
  <c r="X77" i="2" s="1"/>
  <c r="AC77" i="2"/>
  <c r="AC76" i="2"/>
  <c r="Q76" i="2"/>
  <c r="S76" i="2" s="1"/>
  <c r="X76" i="2" s="1"/>
  <c r="AC75" i="2"/>
  <c r="Q75" i="2"/>
  <c r="S75" i="2" s="1"/>
  <c r="X75" i="2" s="1"/>
  <c r="Q74" i="2"/>
  <c r="S74" i="2" s="1"/>
  <c r="X74" i="2" s="1"/>
  <c r="AC74" i="2"/>
  <c r="AC72" i="2"/>
  <c r="Q72" i="2"/>
  <c r="S72" i="2" s="1"/>
  <c r="X72" i="2" s="1"/>
  <c r="Q71" i="2"/>
  <c r="S71" i="2" s="1"/>
  <c r="X71" i="2" s="1"/>
  <c r="AC71" i="2"/>
  <c r="AC70" i="2"/>
  <c r="Q70" i="2"/>
  <c r="S70" i="2" s="1"/>
  <c r="X70" i="2" s="1"/>
  <c r="AC69" i="2"/>
  <c r="Q69" i="2"/>
  <c r="S69" i="2" s="1"/>
  <c r="X69" i="2" s="1"/>
  <c r="AC68" i="2"/>
  <c r="Q68" i="2"/>
  <c r="S68" i="2" s="1"/>
  <c r="X68" i="2" s="1"/>
  <c r="Q67" i="2"/>
  <c r="S67" i="2" s="1"/>
  <c r="X67" i="2" s="1"/>
  <c r="AC67" i="2"/>
  <c r="Q66" i="2"/>
  <c r="S66" i="2" s="1"/>
  <c r="X66" i="2" s="1"/>
  <c r="AC66" i="2"/>
  <c r="AC65" i="2"/>
  <c r="Q65" i="2"/>
  <c r="S65" i="2" s="1"/>
  <c r="X65" i="2" s="1"/>
  <c r="Q64" i="2"/>
  <c r="S64" i="2" s="1"/>
  <c r="X64" i="2" s="1"/>
  <c r="AC64" i="2"/>
  <c r="AC63" i="2"/>
  <c r="Q63" i="2"/>
  <c r="S63" i="2" s="1"/>
  <c r="X63" i="2" s="1"/>
  <c r="AC62" i="2"/>
  <c r="Q62" i="2"/>
  <c r="S62" i="2" s="1"/>
  <c r="X62" i="2" s="1"/>
  <c r="AC61" i="2"/>
  <c r="Q61" i="2"/>
  <c r="S61" i="2" s="1"/>
  <c r="X61" i="2" s="1"/>
  <c r="Q60" i="2"/>
  <c r="S60" i="2" s="1"/>
  <c r="X60" i="2" s="1"/>
  <c r="AC60" i="2"/>
  <c r="Q59" i="2"/>
  <c r="S59" i="2" s="1"/>
  <c r="X59" i="2" s="1"/>
  <c r="AC59" i="2"/>
  <c r="Q58" i="2"/>
  <c r="S58" i="2" s="1"/>
  <c r="X58" i="2" s="1"/>
  <c r="AC58" i="2"/>
  <c r="AC57" i="2"/>
  <c r="Q57" i="2"/>
  <c r="S57" i="2" s="1"/>
  <c r="X57" i="2" s="1"/>
  <c r="AC56" i="2"/>
  <c r="Q56" i="2"/>
  <c r="S56" i="2" s="1"/>
  <c r="X56" i="2" s="1"/>
  <c r="AC55" i="2"/>
  <c r="Q55" i="2"/>
  <c r="S55" i="2" s="1"/>
  <c r="X55" i="2" s="1"/>
  <c r="AC54" i="2"/>
  <c r="Q54" i="2"/>
  <c r="S54" i="2" s="1"/>
  <c r="X54" i="2" s="1"/>
  <c r="AC53" i="2"/>
  <c r="Q53" i="2"/>
  <c r="S53" i="2" s="1"/>
  <c r="X53" i="2" s="1"/>
  <c r="AC52" i="2"/>
  <c r="Q52" i="2"/>
  <c r="S52" i="2" s="1"/>
  <c r="X52" i="2" s="1"/>
  <c r="AC51" i="2"/>
  <c r="Q51" i="2"/>
  <c r="S51" i="2" s="1"/>
  <c r="X51" i="2" s="1"/>
  <c r="AC50" i="2"/>
  <c r="Q50" i="2"/>
  <c r="S50" i="2" s="1"/>
  <c r="X50" i="2" s="1"/>
  <c r="Q49" i="2"/>
  <c r="S49" i="2" s="1"/>
  <c r="X49" i="2" s="1"/>
  <c r="AC49" i="2"/>
  <c r="AC48" i="2"/>
  <c r="Q48" i="2"/>
  <c r="S48" i="2" s="1"/>
  <c r="X48" i="2" s="1"/>
  <c r="AC47" i="2"/>
  <c r="Q47" i="2"/>
  <c r="S47" i="2" s="1"/>
  <c r="X47" i="2" s="1"/>
  <c r="AC46" i="2"/>
  <c r="Q46" i="2"/>
  <c r="S46" i="2" s="1"/>
  <c r="X46" i="2" s="1"/>
  <c r="Q45" i="2"/>
  <c r="S45" i="2" s="1"/>
  <c r="X45" i="2" s="1"/>
  <c r="AC45" i="2"/>
  <c r="AC44" i="2"/>
  <c r="Q44" i="2"/>
  <c r="S44" i="2" s="1"/>
  <c r="X44" i="2" s="1"/>
  <c r="AC43" i="2"/>
  <c r="Q43" i="2"/>
  <c r="S43" i="2" s="1"/>
  <c r="X43" i="2" s="1"/>
  <c r="Q42" i="2"/>
  <c r="S42" i="2" s="1"/>
  <c r="X42" i="2" s="1"/>
  <c r="AC42" i="2"/>
  <c r="Q41" i="2"/>
  <c r="S41" i="2" s="1"/>
  <c r="X41" i="2" s="1"/>
  <c r="AC41" i="2"/>
  <c r="Q40" i="2"/>
  <c r="S40" i="2" s="1"/>
  <c r="X40" i="2" s="1"/>
  <c r="AC40" i="2"/>
  <c r="AC39" i="2"/>
  <c r="Q39" i="2"/>
  <c r="S39" i="2" s="1"/>
  <c r="X39" i="2" s="1"/>
  <c r="AC38" i="2"/>
  <c r="Q38" i="2"/>
  <c r="S38" i="2" s="1"/>
  <c r="X38" i="2" s="1"/>
  <c r="AC37" i="2"/>
  <c r="Q37" i="2"/>
  <c r="S37" i="2" s="1"/>
  <c r="X37" i="2" s="1"/>
  <c r="AC36" i="2"/>
  <c r="Q36" i="2"/>
  <c r="S36" i="2" s="1"/>
  <c r="X36" i="2" s="1"/>
  <c r="AC35" i="2"/>
  <c r="Q35" i="2"/>
  <c r="S35" i="2" s="1"/>
  <c r="X35" i="2" s="1"/>
  <c r="AC34" i="2"/>
  <c r="Q34" i="2"/>
  <c r="S34" i="2" s="1"/>
  <c r="X34" i="2" s="1"/>
  <c r="AC33" i="2"/>
  <c r="Q33" i="2"/>
  <c r="S33" i="2" s="1"/>
  <c r="X33" i="2" s="1"/>
  <c r="AC32" i="2"/>
  <c r="Q32" i="2"/>
  <c r="S32" i="2" s="1"/>
  <c r="X32" i="2" s="1"/>
  <c r="Q31" i="2"/>
  <c r="S31" i="2" s="1"/>
  <c r="X31" i="2" s="1"/>
  <c r="AC31" i="2"/>
  <c r="AC30" i="2"/>
  <c r="Q30" i="2"/>
  <c r="S30" i="2" s="1"/>
  <c r="X30" i="2" s="1"/>
  <c r="Q29" i="2"/>
  <c r="S29" i="2" s="1"/>
  <c r="X29" i="2" s="1"/>
  <c r="AC29" i="2"/>
  <c r="AC28" i="2"/>
  <c r="Q28" i="2"/>
  <c r="S28" i="2" s="1"/>
  <c r="X28" i="2" s="1"/>
  <c r="AC27" i="2"/>
  <c r="Q27" i="2"/>
  <c r="S27" i="2" s="1"/>
  <c r="X27" i="2" s="1"/>
  <c r="AC26" i="2"/>
  <c r="Q26" i="2"/>
  <c r="S26" i="2" s="1"/>
  <c r="X26" i="2" s="1"/>
  <c r="AC25" i="2"/>
  <c r="Q25" i="2"/>
  <c r="S25" i="2" s="1"/>
  <c r="X25" i="2" s="1"/>
  <c r="AC24" i="2"/>
  <c r="Q24" i="2"/>
  <c r="S24" i="2" s="1"/>
  <c r="X24" i="2" s="1"/>
  <c r="AC23" i="2"/>
  <c r="Q23" i="2"/>
  <c r="S23" i="2" s="1"/>
  <c r="X23" i="2" s="1"/>
  <c r="Q22" i="2"/>
  <c r="S22" i="2" s="1"/>
  <c r="X22" i="2" s="1"/>
  <c r="AC22" i="2"/>
  <c r="AC21" i="2"/>
  <c r="Q21" i="2"/>
  <c r="S21" i="2" s="1"/>
  <c r="X21" i="2" s="1"/>
  <c r="Q20" i="2"/>
  <c r="S20" i="2" s="1"/>
  <c r="X20" i="2" s="1"/>
  <c r="AC20" i="2"/>
  <c r="AC19" i="2"/>
  <c r="Q19" i="2"/>
  <c r="S19" i="2" s="1"/>
  <c r="X19" i="2" s="1"/>
  <c r="AC18" i="2"/>
  <c r="Q18" i="2"/>
  <c r="S18" i="2" s="1"/>
  <c r="X18" i="2" s="1"/>
  <c r="AC17" i="2"/>
  <c r="Q17" i="2"/>
  <c r="S17" i="2" s="1"/>
  <c r="X17" i="2" s="1"/>
  <c r="AC16" i="2"/>
  <c r="Q16" i="2"/>
  <c r="S16" i="2" s="1"/>
  <c r="X16" i="2" s="1"/>
  <c r="AC7" i="2"/>
  <c r="Q7" i="2"/>
  <c r="S7" i="2" s="1"/>
  <c r="X7" i="2" s="1"/>
  <c r="AC13" i="2" l="1"/>
  <c r="Q13" i="2"/>
  <c r="S13" i="2" s="1"/>
  <c r="X13" i="2" s="1"/>
  <c r="Q15" i="2"/>
  <c r="S15" i="2" s="1"/>
  <c r="X15" i="2" s="1"/>
  <c r="AC15" i="2"/>
  <c r="AC14" i="2"/>
  <c r="Q14" i="2"/>
  <c r="S14" i="2" s="1"/>
  <c r="X14" i="2" s="1"/>
  <c r="AC12" i="2"/>
  <c r="Q12" i="2"/>
  <c r="AC11" i="2"/>
  <c r="Q11" i="2"/>
  <c r="S11" i="2" s="1"/>
  <c r="X11" i="2" s="1"/>
  <c r="AC10" i="2"/>
  <c r="Q10" i="2"/>
  <c r="S10" i="2" s="1"/>
  <c r="X10" i="2" s="1"/>
  <c r="AC9" i="2"/>
  <c r="Q9" i="2"/>
  <c r="S9" i="2" s="1"/>
  <c r="X9" i="2" s="1"/>
  <c r="Q8" i="2"/>
  <c r="S8" i="2" s="1"/>
  <c r="X8" i="2" s="1"/>
  <c r="AC8" i="2"/>
  <c r="Q6" i="2"/>
  <c r="S6" i="2" s="1"/>
  <c r="X6" i="2" s="1"/>
  <c r="AC6" i="2"/>
  <c r="G6" i="3"/>
  <c r="Q5" i="2"/>
  <c r="J40" i="6" s="1"/>
  <c r="AC5" i="2"/>
  <c r="B10" i="4"/>
  <c r="S12" i="2" l="1"/>
  <c r="X12" i="2" s="1"/>
  <c r="J15" i="6"/>
  <c r="G12" i="3"/>
  <c r="G13" i="3" s="1"/>
  <c r="H6" i="3"/>
  <c r="J16" i="6"/>
  <c r="S5" i="2"/>
  <c r="J37" i="6"/>
  <c r="D24" i="4"/>
  <c r="A16" i="3" l="1"/>
  <c r="D28" i="4"/>
  <c r="B7" i="4"/>
  <c r="B8" i="4" s="1"/>
  <c r="D25" i="4"/>
  <c r="D14" i="4"/>
  <c r="X5" i="2"/>
  <c r="B1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1" authorId="0" shapeId="0" xr:uid="{00000000-0006-0000-0400-000001000000}">
      <text>
        <r>
          <rPr>
            <sz val="10"/>
            <rFont val="Arial"/>
            <family val="2"/>
          </rPr>
          <t>Your stated maximum: up to 15% for high quantities.</t>
        </r>
      </text>
    </comment>
  </commentList>
</comments>
</file>

<file path=xl/sharedStrings.xml><?xml version="1.0" encoding="utf-8"?>
<sst xmlns="http://schemas.openxmlformats.org/spreadsheetml/2006/main" count="492" uniqueCount="294">
  <si>
    <t>Kushii Gifts — Enquiry &amp; Order Tracker</t>
  </si>
  <si>
    <t>Log every WhatsApp enquiry here, including the ones that do not buy. After Diwali the Review tab shows what sold, what converted and which reels brought customers.</t>
  </si>
  <si>
    <t>Tabs</t>
  </si>
  <si>
    <t>Orders — one row per product in an enquiry. Several products for one customer = several rows with the same Order ID.</t>
  </si>
  <si>
    <t>Quote Calculator — type product IDs and quantities to get the slab price and a ready-to-paste WhatsApp quote.</t>
  </si>
  <si>
    <t>Products — your catalogue (item 45 removed). Fill in your Cost per item to see margins.</t>
  </si>
  <si>
    <t>Discount Slabs — your volume discounts. Change them here and every price updates.</t>
  </si>
  <si>
    <t>Review — season summary: conversion, revenue, discounts, sources, top products.</t>
  </si>
  <si>
    <t>Colour key</t>
  </si>
  <si>
    <t>Blue text on a yellow cell = you type here. Black text = calculated automatically, do not overwrite.</t>
  </si>
  <si>
    <t>Red highlight in Orders = total discount above the 15% cap.</t>
  </si>
  <si>
    <t>Row 5 in Orders is an example. Overwrite or delete it when you start.</t>
  </si>
  <si>
    <t>Status flow: New enquiry → Quoted → Negotiating → Advance received → In production → Dispatched → Delivered (or Lost).</t>
  </si>
  <si>
    <t>“Won” on the Review tab = Advance received, In production, Dispatched or Delivered.</t>
  </si>
  <si>
    <t>Enquiries &amp; Orders</t>
  </si>
  <si>
    <t>One row per product. Yellow = type here; grey = calculated. Row 5 is an example.</t>
  </si>
  <si>
    <t>Order ID</t>
  </si>
  <si>
    <t>Enquiry date</t>
  </si>
  <si>
    <t>Customer name</t>
  </si>
  <si>
    <t>Phone</t>
  </si>
  <si>
    <t>Type</t>
  </si>
  <si>
    <t>Occasion</t>
  </si>
  <si>
    <t>Source</t>
  </si>
  <si>
    <t>Which reel / referrer</t>
  </si>
  <si>
    <t>City</t>
  </si>
  <si>
    <t>Product ID</t>
  </si>
  <si>
    <t>Product name</t>
  </si>
  <si>
    <t>Qty</t>
  </si>
  <si>
    <t>List price (₹)</t>
  </si>
  <si>
    <t>Slab discount</t>
  </si>
  <si>
    <t>Extra discount</t>
  </si>
  <si>
    <t>Final unit price (₹)</t>
  </si>
  <si>
    <t>Product total (₹)</t>
  </si>
  <si>
    <t>Customisation + delivery (₹)</t>
  </si>
  <si>
    <t>Order value (₹)</t>
  </si>
  <si>
    <t>Need-by date</t>
  </si>
  <si>
    <t>Status</t>
  </si>
  <si>
    <t>Advance received (₹)</t>
  </si>
  <si>
    <t>Won?</t>
  </si>
  <si>
    <t>Balance due (₹)</t>
  </si>
  <si>
    <t>Dispatch date</t>
  </si>
  <si>
    <t>Courier &amp; tracking</t>
  </si>
  <si>
    <t>Lost reason</t>
  </si>
  <si>
    <t>Notes</t>
  </si>
  <si>
    <t>List value (helper)</t>
  </si>
  <si>
    <t>KG-001</t>
  </si>
  <si>
    <t>98xxxxxx01</t>
  </si>
  <si>
    <t>Corporate</t>
  </si>
  <si>
    <t>Diwali</t>
  </si>
  <si>
    <t>Instagram reel</t>
  </si>
  <si>
    <t>"Don't give them a return gift" reel</t>
  </si>
  <si>
    <t>Advance received</t>
  </si>
  <si>
    <t>Asked for 15%; gave 12% slab + 2% and free thank-you tags</t>
  </si>
  <si>
    <t>Quote Calculator</t>
  </si>
  <si>
    <t>Type the customer name, product IDs and quantities (yellow). Copy the WhatsApp text from cell A16.</t>
  </si>
  <si>
    <t>Product</t>
  </si>
  <si>
    <t>Unit price (₹)</t>
  </si>
  <si>
    <t>Line total (₹)</t>
  </si>
  <si>
    <t>Products total</t>
  </si>
  <si>
    <t>Grand total</t>
  </si>
  <si>
    <t>WhatsApp quote (copy this cell):</t>
  </si>
  <si>
    <t>Season Review</t>
  </si>
  <si>
    <t>Everything below is calculated from the Orders tab. Rows = product lines; Orders = distinct Order IDs.</t>
  </si>
  <si>
    <t>Enquiries (distinct Order IDs)</t>
  </si>
  <si>
    <t>Won orders (distinct Order IDs)</t>
  </si>
  <si>
    <t>Conversion rate</t>
  </si>
  <si>
    <t>Revenue won (₹, incl. delivery)</t>
  </si>
  <si>
    <t>Average order value (₹)</t>
  </si>
  <si>
    <t>Pieces sold</t>
  </si>
  <si>
    <t>Average discount on won lines</t>
  </si>
  <si>
    <t>Balance still to collect (₹)</t>
  </si>
  <si>
    <t>By source</t>
  </si>
  <si>
    <t>Product lines</t>
  </si>
  <si>
    <t>Won lines</t>
  </si>
  <si>
    <t>Revenue won (₹)</t>
  </si>
  <si>
    <t>Instagram profile</t>
  </si>
  <si>
    <t>Instagram DM</t>
  </si>
  <si>
    <t>Website</t>
  </si>
  <si>
    <t>Referral</t>
  </si>
  <si>
    <t>Repeat customer</t>
  </si>
  <si>
    <t>Google</t>
  </si>
  <si>
    <t>Other</t>
  </si>
  <si>
    <t>By type</t>
  </si>
  <si>
    <t>Personal</t>
  </si>
  <si>
    <t>By occasion</t>
  </si>
  <si>
    <t>Wedding</t>
  </si>
  <si>
    <t>Housewarming</t>
  </si>
  <si>
    <t>Naming ceremony</t>
  </si>
  <si>
    <t>Birthday</t>
  </si>
  <si>
    <t>Pooja / Vratham</t>
  </si>
  <si>
    <t>Sankranti</t>
  </si>
  <si>
    <t>New Year</t>
  </si>
  <si>
    <t>Baby shower</t>
  </si>
  <si>
    <t>New enquiry</t>
  </si>
  <si>
    <t>Quoted</t>
  </si>
  <si>
    <t>Negotiating</t>
  </si>
  <si>
    <t>In production</t>
  </si>
  <si>
    <t>Dispatched</t>
  </si>
  <si>
    <t>Delivered</t>
  </si>
  <si>
    <t>Lost</t>
  </si>
  <si>
    <t>Price too high</t>
  </si>
  <si>
    <t>Timeline too short</t>
  </si>
  <si>
    <t>Out of stock</t>
  </si>
  <si>
    <t>Chose another seller</t>
  </si>
  <si>
    <t>No response</t>
  </si>
  <si>
    <t>Top products: open the Products tab and sort by "Qty won" (largest first).</t>
  </si>
  <si>
    <t>Volume discount slabs</t>
  </si>
  <si>
    <t>Proposed in the Festive Season Playbook; edit to match your margins. Maximum total discount (cap) is below.</t>
  </si>
  <si>
    <t>Minimum pieces</t>
  </si>
  <si>
    <t>Discount</t>
  </si>
  <si>
    <t>Discount cap</t>
  </si>
  <si>
    <t>Product catalogue</t>
  </si>
  <si>
    <t>From your price list (21 Oct 2026). Fill Cost per item (yellow) to see margin at list price and at the maximum discount.</t>
  </si>
  <si>
    <t>ID</t>
  </si>
  <si>
    <t>Name</t>
  </si>
  <si>
    <t>Category</t>
  </si>
  <si>
    <t>Description</t>
  </si>
  <si>
    <t>Cost per item (₹)</t>
  </si>
  <si>
    <t>Margin at list</t>
  </si>
  <si>
    <t>Margin at max discount</t>
  </si>
  <si>
    <t>Qty won (from Orders)</t>
  </si>
  <si>
    <t>Copper Glass Set</t>
  </si>
  <si>
    <t>BRASS</t>
  </si>
  <si>
    <t>Standard glass size</t>
  </si>
  <si>
    <t>wt 200 gms; 4 inches</t>
  </si>
  <si>
    <t>wt 65 gms; width 3.3 inches</t>
  </si>
  <si>
    <t>550 gms; 6 inches</t>
  </si>
  <si>
    <t>50 - 90 gms</t>
  </si>
  <si>
    <t>200 gms; 4 inches</t>
  </si>
  <si>
    <t>Coffee Dabra Set</t>
  </si>
  <si>
    <t>120 gms;</t>
  </si>
  <si>
    <t>size 1</t>
  </si>
  <si>
    <t>Shanku Chakra Diyas</t>
  </si>
  <si>
    <t>Comes in 2 sizes</t>
  </si>
  <si>
    <t>Lotus Stand</t>
  </si>
  <si>
    <t>4 inches</t>
  </si>
  <si>
    <t>Lotus Diyas</t>
  </si>
  <si>
    <t>Peacock Bowl</t>
  </si>
  <si>
    <t>140 gms; 3 inches</t>
  </si>
  <si>
    <t>150 gms; 3.5 inches</t>
  </si>
  <si>
    <t>WOODEN HANDICRAFTS</t>
  </si>
  <si>
    <t>size in the image</t>
  </si>
  <si>
    <t>Balaji Kumkum Holder</t>
  </si>
  <si>
    <t>Thambulam Kumkum Set</t>
  </si>
  <si>
    <t>Raja Rani Kumkum Holder</t>
  </si>
  <si>
    <t>Balaji Idol with Bag</t>
  </si>
  <si>
    <t>WOODEN GIFT ITEMS</t>
  </si>
  <si>
    <t>8.5 x 8.5 inches (customizable size &amp; print)</t>
  </si>
  <si>
    <t>Korai Bag</t>
  </si>
  <si>
    <t>KORAI GIFTS</t>
  </si>
  <si>
    <t>8 x 8 inches</t>
  </si>
  <si>
    <t>Raw Silk Bag</t>
  </si>
  <si>
    <t>JUTE BAGS</t>
  </si>
  <si>
    <t>9 x 9 x 4 inches</t>
  </si>
  <si>
    <t>CLUTCHES</t>
  </si>
  <si>
    <t>Standard sizes</t>
  </si>
  <si>
    <t>Brocade Jewellery Box</t>
  </si>
  <si>
    <t>JEWELLERY BOX</t>
  </si>
  <si>
    <t>7x7x2</t>
  </si>
  <si>
    <t>6x3</t>
  </si>
  <si>
    <t>PALM BOX</t>
  </si>
  <si>
    <t>4 x 4 inches</t>
  </si>
  <si>
    <t>Jute Bag</t>
  </si>
  <si>
    <t>9 x 9 inches</t>
  </si>
  <si>
    <t>5 inches</t>
  </si>
  <si>
    <t>3 inches</t>
  </si>
  <si>
    <t>Diyas in Potli</t>
  </si>
  <si>
    <t>HAMPER</t>
  </si>
  <si>
    <t>Diyas in Potli Bag</t>
  </si>
  <si>
    <t>5 x 7 inches</t>
  </si>
  <si>
    <t>Kumkum Holder</t>
  </si>
  <si>
    <t>2 inches</t>
  </si>
  <si>
    <t>Korai Basket</t>
  </si>
  <si>
    <t>8inches</t>
  </si>
  <si>
    <t>Spiritual Book</t>
  </si>
  <si>
    <t>Standard</t>
  </si>
  <si>
    <t>Annapakshi Diyas</t>
  </si>
  <si>
    <t>Kolam Tray</t>
  </si>
  <si>
    <t>8 inches</t>
  </si>
  <si>
    <t>Shanku Chakra Bowl</t>
  </si>
  <si>
    <t>65 gms</t>
  </si>
  <si>
    <t>140 gms; 3.5 inches</t>
  </si>
  <si>
    <t>Pichwai Box</t>
  </si>
  <si>
    <t>Traditional Woman</t>
  </si>
  <si>
    <t>Traditional Bride &amp; Groom</t>
  </si>
  <si>
    <t>Thambulam Woman</t>
  </si>
  <si>
    <t>Lord Ram &amp; Sita</t>
  </si>
  <si>
    <t>50 gms; 3 inches</t>
  </si>
  <si>
    <t>3.5 inches</t>
  </si>
  <si>
    <t>Matki Jar</t>
  </si>
  <si>
    <t>6 inches</t>
  </si>
  <si>
    <t>130 gms</t>
  </si>
  <si>
    <t>Peacock Diya</t>
  </si>
  <si>
    <t>Size 1: 160 gms</t>
  </si>
  <si>
    <t>Tortoise</t>
  </si>
  <si>
    <t>45 gms; 2.5 inches</t>
  </si>
  <si>
    <t>Korai Bangle Box</t>
  </si>
  <si>
    <t>7x2</t>
  </si>
  <si>
    <t>Pichwai Tray</t>
  </si>
  <si>
    <t>275 gms; 7 inches</t>
  </si>
  <si>
    <t>MEENAKARI</t>
  </si>
  <si>
    <t>5 inch</t>
  </si>
  <si>
    <t>Standard size</t>
  </si>
  <si>
    <t>Kavitha</t>
  </si>
  <si>
    <t>Hyderabad</t>
  </si>
  <si>
    <t>KG-002</t>
  </si>
  <si>
    <t>Divya</t>
  </si>
  <si>
    <t>Dhruvi</t>
  </si>
  <si>
    <t>KG-003</t>
  </si>
  <si>
    <t>Ghee Pot Plain</t>
  </si>
  <si>
    <t>Ghee Pot Engraved</t>
  </si>
  <si>
    <t>Wooden Tray 1</t>
  </si>
  <si>
    <t>Wooden Tray 2</t>
  </si>
  <si>
    <t>Wooden Tray 3</t>
  </si>
  <si>
    <t>Wooden Tray 4</t>
  </si>
  <si>
    <t>Wooden Tray 5</t>
  </si>
  <si>
    <t>Wooden Tray 6</t>
  </si>
  <si>
    <t>Wooden Tray 7</t>
  </si>
  <si>
    <t>Wooden Tray 8</t>
  </si>
  <si>
    <t>Balaji Idols 1</t>
  </si>
  <si>
    <t>Balaji Idols 2</t>
  </si>
  <si>
    <t>Balaji Idols 3</t>
  </si>
  <si>
    <t>Balaji Idols 4</t>
  </si>
  <si>
    <t>Balaji Idols 5</t>
  </si>
  <si>
    <t>Balaji Idols 6</t>
  </si>
  <si>
    <t>Balaji Idols 7</t>
  </si>
  <si>
    <t>Gangalam 1</t>
  </si>
  <si>
    <t>Gangalam 2</t>
  </si>
  <si>
    <t>Gangalam 3</t>
  </si>
  <si>
    <t>Gangalam 4</t>
  </si>
  <si>
    <t>Key Holder 1</t>
  </si>
  <si>
    <t>Key Holder 2</t>
  </si>
  <si>
    <t>Key Holder 3</t>
  </si>
  <si>
    <t>Key Holder 4</t>
  </si>
  <si>
    <t>Korai Box 1</t>
  </si>
  <si>
    <t>Korai Box 2</t>
  </si>
  <si>
    <t>Meenakari Steel Box 1</t>
  </si>
  <si>
    <t>Meenakari Steel Box 2</t>
  </si>
  <si>
    <t>Meenakari Steel Box 3</t>
  </si>
  <si>
    <t>Meenakari Steel Box 4</t>
  </si>
  <si>
    <t>Metal Design Jar 1</t>
  </si>
  <si>
    <t>Metal Design Jar 2</t>
  </si>
  <si>
    <t>Metal Design Jar 3</t>
  </si>
  <si>
    <t>Palm Box 1</t>
  </si>
  <si>
    <t>Palm Box 2</t>
  </si>
  <si>
    <t>Palm Box 3</t>
  </si>
  <si>
    <t>Parrot Kumkum Holder Small</t>
  </si>
  <si>
    <t>Parrot Kumkum Holder Big</t>
  </si>
  <si>
    <t>Prasadam Bowl 1</t>
  </si>
  <si>
    <t>Prasadam Bowl 2</t>
  </si>
  <si>
    <t>Premium Paithani Clutch 1</t>
  </si>
  <si>
    <t>Premium Paithani Clutch 2</t>
  </si>
  <si>
    <t>Premium Paithani Clutch 3</t>
  </si>
  <si>
    <t>Semi Patola Clutch 1</t>
  </si>
  <si>
    <t>Semi Patola Clutch 2</t>
  </si>
  <si>
    <t>Semi Patola Clutch 3</t>
  </si>
  <si>
    <t>Semi Patola Clutch 4</t>
  </si>
  <si>
    <t>Spice Box 1</t>
  </si>
  <si>
    <t>Spice Box 2</t>
  </si>
  <si>
    <t>Spice Box 3</t>
  </si>
  <si>
    <t>Brass Glass Elephant</t>
  </si>
  <si>
    <t>Brass Glass Cow</t>
  </si>
  <si>
    <t>Brass Glass Bird</t>
  </si>
  <si>
    <t>Hamper 1</t>
  </si>
  <si>
    <t>Hamper 2</t>
  </si>
  <si>
    <t>Hamper 3</t>
  </si>
  <si>
    <t>Hamper 4</t>
  </si>
  <si>
    <t>Hamper 5</t>
  </si>
  <si>
    <t>Hamper 6</t>
  </si>
  <si>
    <t>Hamper 7</t>
  </si>
  <si>
    <t>Hamper</t>
  </si>
  <si>
    <t>Gangalam Baby</t>
  </si>
  <si>
    <t>Shanku Chakra Plate</t>
  </si>
  <si>
    <t>Gangalam Para</t>
  </si>
  <si>
    <t>Spice Box Design</t>
  </si>
  <si>
    <t>Ghee Pot Steel 1</t>
  </si>
  <si>
    <t>Ghee Pot Steel 2</t>
  </si>
  <si>
    <t>Ghee Pot Steel 3</t>
  </si>
  <si>
    <t>Platter Mango Wood</t>
  </si>
  <si>
    <t>Platter Metal 2</t>
  </si>
  <si>
    <t>Platter Metal 1</t>
  </si>
  <si>
    <t>Jute Bag Balaji</t>
  </si>
  <si>
    <t>Jute Bag Stick</t>
  </si>
  <si>
    <t>METAL GIFTS</t>
  </si>
  <si>
    <t>STEEL</t>
  </si>
  <si>
    <t>250 ml</t>
  </si>
  <si>
    <t>10 inch</t>
  </si>
  <si>
    <t>8*8</t>
  </si>
  <si>
    <t>100 gms</t>
  </si>
  <si>
    <t>135 gms</t>
  </si>
  <si>
    <t>155 gms</t>
  </si>
  <si>
    <t>KG-004</t>
  </si>
  <si>
    <t>Mumbaiya Tapri - Aarti S</t>
  </si>
  <si>
    <t>Aarti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</si>
</sst>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\₹#,##0;&quot;(₹&quot;#,##0\);\-"/>
  </numFmts>
  <fonts count="13" x14ac:knownFonts="1">
    <font>
      <sz val="11"/>
      <color theme="1"/>
      <name val="Calibri"/>
      <family val="2"/>
      <charset val="1"/>
    </font>
    <font>
      <b/>
      <sz val="14"/>
      <color rgb="FF8E2C48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8"/>
      <color rgb="FF999999"/>
      <name val="Arial"/>
      <charset val="1"/>
    </font>
    <font>
      <i/>
      <sz val="11"/>
      <name val="Arial"/>
      <charset val="1"/>
    </font>
    <font>
      <sz val="10"/>
      <name val="Arial"/>
      <family val="2"/>
    </font>
    <font>
      <sz val="8"/>
      <name val="Calibri"/>
      <family val="2"/>
      <charset val="1"/>
    </font>
    <font>
      <sz val="11"/>
      <name val="Arial"/>
      <family val="2"/>
    </font>
    <font>
      <sz val="11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E2C48"/>
        <bgColor rgb="FF99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6" fillId="3" borderId="1" xfId="0" applyFont="1" applyFill="1" applyBorder="1"/>
    <xf numFmtId="164" fontId="6" fillId="3" borderId="1" xfId="0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9" fontId="2" fillId="4" borderId="1" xfId="0" applyNumberFormat="1" applyFont="1" applyFill="1" applyBorder="1"/>
    <xf numFmtId="9" fontId="6" fillId="3" borderId="1" xfId="0" applyNumberFormat="1" applyFont="1" applyFill="1" applyBorder="1"/>
    <xf numFmtId="165" fontId="6" fillId="3" borderId="1" xfId="0" applyNumberFormat="1" applyFont="1" applyFill="1" applyBorder="1"/>
    <xf numFmtId="0" fontId="3" fillId="0" borderId="0" xfId="0" applyFont="1"/>
    <xf numFmtId="0" fontId="6" fillId="3" borderId="0" xfId="0" applyFont="1" applyFill="1"/>
    <xf numFmtId="165" fontId="6" fillId="3" borderId="0" xfId="0" applyNumberFormat="1" applyFont="1" applyFill="1"/>
    <xf numFmtId="165" fontId="0" fillId="0" borderId="0" xfId="0" applyNumberFormat="1"/>
    <xf numFmtId="9" fontId="0" fillId="0" borderId="0" xfId="0" applyNumberFormat="1"/>
    <xf numFmtId="0" fontId="7" fillId="0" borderId="0" xfId="0" applyFont="1" applyAlignment="1">
      <alignment wrapText="1"/>
    </xf>
    <xf numFmtId="165" fontId="3" fillId="0" borderId="0" xfId="0" applyNumberFormat="1" applyFont="1"/>
    <xf numFmtId="0" fontId="2" fillId="0" borderId="0" xfId="0" applyFont="1"/>
    <xf numFmtId="1" fontId="3" fillId="0" borderId="0" xfId="0" applyNumberFormat="1" applyFont="1"/>
    <xf numFmtId="9" fontId="3" fillId="0" borderId="0" xfId="0" applyNumberFormat="1" applyFont="1"/>
    <xf numFmtId="3" fontId="3" fillId="0" borderId="0" xfId="0" applyNumberFormat="1" applyFont="1"/>
    <xf numFmtId="0" fontId="8" fillId="0" borderId="0" xfId="0" applyFont="1"/>
    <xf numFmtId="9" fontId="6" fillId="3" borderId="0" xfId="0" applyNumberFormat="1" applyFont="1" applyFill="1"/>
    <xf numFmtId="165" fontId="2" fillId="0" borderId="0" xfId="0" applyNumberFormat="1" applyFont="1"/>
    <xf numFmtId="9" fontId="2" fillId="0" borderId="0" xfId="0" applyNumberFormat="1" applyFont="1"/>
    <xf numFmtId="0" fontId="2" fillId="0" borderId="0" xfId="0" applyFont="1" applyAlignment="1">
      <alignment vertical="top" wrapText="1"/>
    </xf>
    <xf numFmtId="0" fontId="2" fillId="5" borderId="0" xfId="0" applyFont="1" applyFill="1"/>
    <xf numFmtId="0" fontId="11" fillId="0" borderId="0" xfId="0" applyFont="1"/>
    <xf numFmtId="0" fontId="11" fillId="5" borderId="0" xfId="0" applyFont="1" applyFill="1"/>
    <xf numFmtId="165" fontId="11" fillId="0" borderId="0" xfId="0" applyNumberFormat="1" applyFont="1"/>
    <xf numFmtId="0" fontId="12" fillId="5" borderId="0" xfId="0" applyFont="1" applyFill="1"/>
  </cellXfs>
  <cellStyles count="1">
    <cellStyle name="Normal" xfId="0" builtinId="0"/>
  </cellStyles>
  <dxfs count="4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  <color rgb="FF9C0006"/>
        <name val="Arial"/>
        <charset val="1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E2C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zoomScaleNormal="100" workbookViewId="0"/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2" t="s">
        <v>0</v>
      </c>
    </row>
    <row r="2" spans="1:1" x14ac:dyDescent="0.3">
      <c r="A2" s="1"/>
    </row>
    <row r="3" spans="1:1" ht="27.6" x14ac:dyDescent="0.3">
      <c r="A3" s="1" t="s">
        <v>1</v>
      </c>
    </row>
    <row r="4" spans="1:1" x14ac:dyDescent="0.3">
      <c r="A4" s="1"/>
    </row>
    <row r="5" spans="1:1" x14ac:dyDescent="0.3">
      <c r="A5" s="3" t="s">
        <v>2</v>
      </c>
    </row>
    <row r="6" spans="1:1" x14ac:dyDescent="0.3">
      <c r="A6" s="1" t="s">
        <v>3</v>
      </c>
    </row>
    <row r="7" spans="1:1" x14ac:dyDescent="0.3">
      <c r="A7" s="1" t="s">
        <v>4</v>
      </c>
    </row>
    <row r="8" spans="1:1" x14ac:dyDescent="0.3">
      <c r="A8" s="1" t="s">
        <v>5</v>
      </c>
    </row>
    <row r="9" spans="1:1" x14ac:dyDescent="0.3">
      <c r="A9" s="1" t="s">
        <v>6</v>
      </c>
    </row>
    <row r="10" spans="1:1" x14ac:dyDescent="0.3">
      <c r="A10" s="1" t="s">
        <v>7</v>
      </c>
    </row>
    <row r="11" spans="1:1" x14ac:dyDescent="0.3">
      <c r="A11" s="1"/>
    </row>
    <row r="12" spans="1:1" x14ac:dyDescent="0.3">
      <c r="A12" s="3" t="s">
        <v>8</v>
      </c>
    </row>
    <row r="13" spans="1:1" x14ac:dyDescent="0.3">
      <c r="A13" s="1" t="s">
        <v>9</v>
      </c>
    </row>
    <row r="14" spans="1:1" x14ac:dyDescent="0.3">
      <c r="A14" s="1" t="s">
        <v>10</v>
      </c>
    </row>
    <row r="15" spans="1:1" x14ac:dyDescent="0.3">
      <c r="A15" s="1"/>
    </row>
    <row r="16" spans="1:1" x14ac:dyDescent="0.3">
      <c r="A16" s="1" t="s">
        <v>11</v>
      </c>
    </row>
    <row r="17" spans="1:1" ht="27.6" x14ac:dyDescent="0.3">
      <c r="A17" s="1" t="s">
        <v>12</v>
      </c>
    </row>
    <row r="18" spans="1:1" x14ac:dyDescent="0.3">
      <c r="A18" s="1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04"/>
  <sheetViews>
    <sheetView zoomScaleNormal="100" workbookViewId="0">
      <pane xSplit="3" ySplit="4" topLeftCell="L5" activePane="bottomRight" state="frozen"/>
      <selection pane="topRight" activeCell="D1" sqref="D1"/>
      <selection pane="bottomLeft" activeCell="A5" sqref="A5"/>
      <selection pane="bottomRight" activeCell="C12" sqref="C12"/>
    </sheetView>
  </sheetViews>
  <sheetFormatPr defaultColWidth="8.6640625" defaultRowHeight="14.4" x14ac:dyDescent="0.3"/>
  <cols>
    <col min="1" max="1" width="10" customWidth="1"/>
    <col min="2" max="2" width="12" customWidth="1"/>
    <col min="3" max="3" width="20" customWidth="1"/>
    <col min="4" max="4" width="14" customWidth="1"/>
    <col min="5" max="5" width="12" customWidth="1"/>
    <col min="6" max="6" width="14" customWidth="1"/>
    <col min="7" max="7" width="18" customWidth="1"/>
    <col min="8" max="8" width="22" customWidth="1"/>
    <col min="9" max="9" width="12" customWidth="1"/>
    <col min="10" max="10" width="10" customWidth="1"/>
    <col min="11" max="11" width="24" customWidth="1"/>
    <col min="12" max="12" width="8" customWidth="1"/>
    <col min="13" max="13" width="12" customWidth="1"/>
    <col min="14" max="15" width="10" customWidth="1"/>
    <col min="16" max="16" width="13" customWidth="1"/>
    <col min="17" max="19" width="14" customWidth="1"/>
    <col min="20" max="20" width="12" customWidth="1"/>
    <col min="21" max="21" width="17" customWidth="1"/>
    <col min="22" max="22" width="14" customWidth="1"/>
    <col min="23" max="23" width="8" customWidth="1"/>
    <col min="24" max="24" width="13" customWidth="1"/>
    <col min="25" max="25" width="12" customWidth="1"/>
    <col min="26" max="26" width="22" customWidth="1"/>
    <col min="27" max="27" width="18" customWidth="1"/>
    <col min="28" max="28" width="28" customWidth="1"/>
    <col min="29" max="29" width="13" hidden="1" customWidth="1"/>
  </cols>
  <sheetData>
    <row r="1" spans="1:29" ht="17.399999999999999" x14ac:dyDescent="0.3">
      <c r="A1" s="4" t="s">
        <v>14</v>
      </c>
    </row>
    <row r="2" spans="1:29" x14ac:dyDescent="0.3">
      <c r="A2" s="5" t="s">
        <v>15</v>
      </c>
    </row>
    <row r="4" spans="1:29" ht="31.5" customHeight="1" x14ac:dyDescent="0.3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31</v>
      </c>
      <c r="Q4" s="6" t="s">
        <v>32</v>
      </c>
      <c r="R4" s="6" t="s">
        <v>33</v>
      </c>
      <c r="S4" s="6" t="s">
        <v>34</v>
      </c>
      <c r="T4" s="6" t="s">
        <v>35</v>
      </c>
      <c r="U4" s="6" t="s">
        <v>36</v>
      </c>
      <c r="V4" s="6" t="s">
        <v>37</v>
      </c>
      <c r="W4" s="6" t="s">
        <v>38</v>
      </c>
      <c r="X4" s="6" t="s">
        <v>39</v>
      </c>
      <c r="Y4" s="6" t="s">
        <v>40</v>
      </c>
      <c r="Z4" s="6" t="s">
        <v>41</v>
      </c>
      <c r="AA4" s="6" t="s">
        <v>42</v>
      </c>
      <c r="AB4" s="6" t="s">
        <v>43</v>
      </c>
      <c r="AC4" t="s">
        <v>44</v>
      </c>
    </row>
    <row r="5" spans="1:29" x14ac:dyDescent="0.3">
      <c r="A5" s="7" t="s">
        <v>45</v>
      </c>
      <c r="B5" s="8">
        <v>46316</v>
      </c>
      <c r="C5" s="7" t="s">
        <v>203</v>
      </c>
      <c r="D5" s="7" t="s">
        <v>46</v>
      </c>
      <c r="E5" s="7" t="s">
        <v>83</v>
      </c>
      <c r="F5" s="7" t="s">
        <v>48</v>
      </c>
      <c r="G5" s="7" t="s">
        <v>49</v>
      </c>
      <c r="H5" s="7" t="s">
        <v>50</v>
      </c>
      <c r="I5" s="7" t="s">
        <v>204</v>
      </c>
      <c r="J5" s="7">
        <v>37</v>
      </c>
      <c r="K5" s="9" t="str">
        <f>IF(J5="","",IFERROR(INDEX(Products!$B$5:$B$89,MATCH(J5,Products!$A$5:$A$89,0)),"Check ID"))</f>
        <v>Raw Silk Bag</v>
      </c>
      <c r="L5" s="7">
        <v>200</v>
      </c>
      <c r="M5" s="10">
        <f>IF(J5="","",IFERROR(INDEX(Products!$E$5:$E$89,MATCH(J5,Products!$A$5:$A$89,0)),0))</f>
        <v>190</v>
      </c>
      <c r="N5" s="11">
        <f>IF(L5="","",IFERROR(VLOOKUP(L5,'Discount Slabs'!$A$5:$B$9,2,TRUE()),0))</f>
        <v>0.12</v>
      </c>
      <c r="O5" s="12">
        <v>0.02</v>
      </c>
      <c r="P5" s="10">
        <f t="shared" ref="P5:P68" si="0">IF(OR(J5="",L5=""),"",ROUND(M5*(1-N5-N(O5)),0))</f>
        <v>163</v>
      </c>
      <c r="Q5" s="10">
        <f t="shared" ref="Q5:Q68" si="1">IF(P5="","",P5*L5)</f>
        <v>32600</v>
      </c>
      <c r="R5" s="13">
        <v>0</v>
      </c>
      <c r="S5" s="10">
        <f t="shared" ref="S5:S68" si="2">IF(Q5="","",Q5+N(R5))</f>
        <v>32600</v>
      </c>
      <c r="T5" s="8">
        <v>46328</v>
      </c>
      <c r="U5" s="7" t="s">
        <v>98</v>
      </c>
      <c r="V5" s="13">
        <v>30000</v>
      </c>
      <c r="W5" s="9" t="str">
        <f t="shared" ref="W5:W68" si="3">IF(OR(U5="Advance received",U5="In production",U5="Dispatched",U5="Delivered"),"Won","")</f>
        <v>Won</v>
      </c>
      <c r="X5" s="10">
        <f t="shared" ref="X5:X68" si="4">IF(S5="","",S5-N(V5))</f>
        <v>2600</v>
      </c>
      <c r="Y5" s="8"/>
      <c r="Z5" s="7"/>
      <c r="AA5" s="7"/>
      <c r="AB5" s="7" t="s">
        <v>52</v>
      </c>
      <c r="AC5">
        <f t="shared" ref="AC5:AC68" si="5">IF(P5="","",L5*M5)</f>
        <v>38000</v>
      </c>
    </row>
    <row r="6" spans="1:29" x14ac:dyDescent="0.3">
      <c r="A6" s="7" t="s">
        <v>45</v>
      </c>
      <c r="B6" s="8">
        <v>46316</v>
      </c>
      <c r="C6" s="7" t="s">
        <v>203</v>
      </c>
      <c r="D6" s="7"/>
      <c r="E6" s="7"/>
      <c r="F6" s="7"/>
      <c r="G6" s="7"/>
      <c r="H6" s="7"/>
      <c r="I6" s="7"/>
      <c r="J6" s="7">
        <v>7</v>
      </c>
      <c r="K6" s="9" t="str">
        <f>IF(J6="","",IFERROR(INDEX(Products!$B$5:$B$89,MATCH(J6,Products!$A$5:$A$89,0)),"Check ID"))</f>
        <v>Coffee Dabra Set</v>
      </c>
      <c r="L6" s="7">
        <v>400</v>
      </c>
      <c r="M6" s="10">
        <f>IF(J6="","",IFERROR(INDEX(Products!$E$5:$E$89,MATCH(J6,Products!$A$5:$A$89,0)),0))</f>
        <v>440</v>
      </c>
      <c r="N6" s="11">
        <f>IF(L6="","",IFERROR(VLOOKUP(L6,'Discount Slabs'!$A$5:$B$9,2,TRUE()),0))</f>
        <v>0.15</v>
      </c>
      <c r="O6" s="12">
        <v>0</v>
      </c>
      <c r="P6" s="10">
        <f t="shared" si="0"/>
        <v>374</v>
      </c>
      <c r="Q6" s="10">
        <f t="shared" si="1"/>
        <v>149600</v>
      </c>
      <c r="R6" s="13">
        <v>4000</v>
      </c>
      <c r="S6" s="10">
        <f t="shared" si="2"/>
        <v>153600</v>
      </c>
      <c r="T6" s="8"/>
      <c r="U6" s="7"/>
      <c r="V6" s="13"/>
      <c r="W6" s="9" t="str">
        <f t="shared" si="3"/>
        <v/>
      </c>
      <c r="X6" s="10">
        <f t="shared" si="4"/>
        <v>153600</v>
      </c>
      <c r="Y6" s="8"/>
      <c r="Z6" s="7"/>
      <c r="AA6" s="7"/>
      <c r="AB6" s="7"/>
      <c r="AC6">
        <f t="shared" si="5"/>
        <v>176000</v>
      </c>
    </row>
    <row r="7" spans="1:29" x14ac:dyDescent="0.3">
      <c r="A7" s="7" t="s">
        <v>205</v>
      </c>
      <c r="B7" s="8">
        <v>46316</v>
      </c>
      <c r="C7" s="7" t="s">
        <v>206</v>
      </c>
      <c r="D7" s="7">
        <v>9966666527</v>
      </c>
      <c r="E7" s="7" t="s">
        <v>83</v>
      </c>
      <c r="F7" s="7" t="s">
        <v>48</v>
      </c>
      <c r="G7" s="7" t="s">
        <v>49</v>
      </c>
      <c r="H7" s="7"/>
      <c r="I7" s="7"/>
      <c r="J7" s="7"/>
      <c r="K7" s="9" t="str">
        <f>IF(J7="","",IFERROR(INDEX(Products!$B$5:$B$89,MATCH(J7,Products!$A$5:$A$89,0)),"Check ID"))</f>
        <v/>
      </c>
      <c r="L7" s="7">
        <v>30</v>
      </c>
      <c r="M7" s="10" t="str">
        <f>IF(J7="","",IFERROR(INDEX(Products!$E$5:$E$89,MATCH(J7,Products!$A$5:$A$89,0)),0))</f>
        <v/>
      </c>
      <c r="N7" s="11">
        <f>IF(L7="","",IFERROR(VLOOKUP(L7,'Discount Slabs'!$A$5:$B$9,2,TRUE()),0))</f>
        <v>0.05</v>
      </c>
      <c r="O7" s="12"/>
      <c r="P7" s="10" t="str">
        <f t="shared" si="0"/>
        <v/>
      </c>
      <c r="Q7" s="10" t="str">
        <f t="shared" si="1"/>
        <v/>
      </c>
      <c r="R7" s="13"/>
      <c r="S7" s="10" t="str">
        <f t="shared" si="2"/>
        <v/>
      </c>
      <c r="T7" s="8"/>
      <c r="U7" s="7" t="s">
        <v>93</v>
      </c>
      <c r="V7" s="13"/>
      <c r="W7" s="9" t="str">
        <f t="shared" si="3"/>
        <v/>
      </c>
      <c r="X7" s="10" t="str">
        <f t="shared" si="4"/>
        <v/>
      </c>
      <c r="Y7" s="8"/>
      <c r="Z7" s="7"/>
      <c r="AA7" s="7"/>
      <c r="AB7" s="7"/>
      <c r="AC7" t="str">
        <f t="shared" si="5"/>
        <v/>
      </c>
    </row>
    <row r="8" spans="1:29" x14ac:dyDescent="0.3">
      <c r="A8" s="7" t="s">
        <v>208</v>
      </c>
      <c r="B8" s="8">
        <v>46317</v>
      </c>
      <c r="C8" s="7" t="s">
        <v>207</v>
      </c>
      <c r="D8" s="7">
        <v>9167671510</v>
      </c>
      <c r="E8" s="7" t="s">
        <v>47</v>
      </c>
      <c r="F8" s="7" t="s">
        <v>48</v>
      </c>
      <c r="G8" s="7" t="s">
        <v>49</v>
      </c>
      <c r="H8" s="7"/>
      <c r="I8" s="7"/>
      <c r="J8" s="7">
        <v>6</v>
      </c>
      <c r="K8" s="9" t="str">
        <f>IF(J8="","",IFERROR(INDEX(Products!$B$5:$B$89,MATCH(J8,Products!$A$5:$A$89,0)),"Check ID"))</f>
        <v>Spice Box 3</v>
      </c>
      <c r="L8" s="7">
        <v>50</v>
      </c>
      <c r="M8" s="10">
        <f>IF(J8="","",IFERROR(INDEX(Products!$E$5:$E$89,MATCH(J8,Products!$A$5:$A$89,0)),0))</f>
        <v>665</v>
      </c>
      <c r="N8" s="11">
        <f>IF(L8="","",IFERROR(VLOOKUP(L8,'Discount Slabs'!$A$5:$B$9,2,TRUE()),0))</f>
        <v>0.08</v>
      </c>
      <c r="O8" s="12">
        <v>0.02</v>
      </c>
      <c r="P8" s="10">
        <f t="shared" si="0"/>
        <v>599</v>
      </c>
      <c r="Q8" s="10">
        <f t="shared" si="1"/>
        <v>29950</v>
      </c>
      <c r="R8" s="13"/>
      <c r="S8" s="10">
        <f t="shared" si="2"/>
        <v>29950</v>
      </c>
      <c r="T8" s="8"/>
      <c r="U8" s="7"/>
      <c r="V8" s="13"/>
      <c r="W8" s="9" t="str">
        <f t="shared" si="3"/>
        <v/>
      </c>
      <c r="X8" s="10">
        <f t="shared" si="4"/>
        <v>29950</v>
      </c>
      <c r="Y8" s="8"/>
      <c r="Z8" s="7"/>
      <c r="AA8" s="7"/>
      <c r="AB8" s="7"/>
      <c r="AC8">
        <f t="shared" si="5"/>
        <v>33250</v>
      </c>
    </row>
    <row r="9" spans="1:29" x14ac:dyDescent="0.3">
      <c r="A9" s="7" t="s">
        <v>208</v>
      </c>
      <c r="B9" s="8">
        <v>46317</v>
      </c>
      <c r="C9" s="7" t="s">
        <v>207</v>
      </c>
      <c r="D9" s="7">
        <v>9167671510</v>
      </c>
      <c r="E9" s="7" t="s">
        <v>47</v>
      </c>
      <c r="F9" s="7" t="s">
        <v>48</v>
      </c>
      <c r="G9" s="7" t="s">
        <v>49</v>
      </c>
      <c r="H9" s="7"/>
      <c r="I9" s="7"/>
      <c r="J9" s="7">
        <v>9</v>
      </c>
      <c r="K9" s="9" t="str">
        <f>IF(J9="","",IFERROR(INDEX(Products!$B$5:$B$89,MATCH(J9,Products!$A$5:$A$89,0)),"Check ID"))</f>
        <v>Shanku Chakra Diyas</v>
      </c>
      <c r="L9" s="7">
        <v>50</v>
      </c>
      <c r="M9" s="10">
        <f>IF(J9="","",IFERROR(INDEX(Products!$E$5:$E$89,MATCH(J9,Products!$A$5:$A$89,0)),0))</f>
        <v>540</v>
      </c>
      <c r="N9" s="11">
        <f>IF(L9="","",IFERROR(VLOOKUP(L9,'Discount Slabs'!$A$5:$B$9,2,TRUE()),0))</f>
        <v>0.08</v>
      </c>
      <c r="O9" s="12"/>
      <c r="P9" s="10">
        <f t="shared" si="0"/>
        <v>497</v>
      </c>
      <c r="Q9" s="10">
        <f t="shared" si="1"/>
        <v>24850</v>
      </c>
      <c r="R9" s="13"/>
      <c r="S9" s="10">
        <f t="shared" si="2"/>
        <v>24850</v>
      </c>
      <c r="T9" s="8"/>
      <c r="U9" s="7"/>
      <c r="V9" s="13"/>
      <c r="W9" s="9" t="str">
        <f t="shared" si="3"/>
        <v/>
      </c>
      <c r="X9" s="10">
        <f t="shared" si="4"/>
        <v>24850</v>
      </c>
      <c r="Y9" s="8"/>
      <c r="Z9" s="7"/>
      <c r="AA9" s="7"/>
      <c r="AB9" s="7"/>
      <c r="AC9">
        <f t="shared" si="5"/>
        <v>27000</v>
      </c>
    </row>
    <row r="10" spans="1:29" x14ac:dyDescent="0.3">
      <c r="A10" s="7" t="s">
        <v>208</v>
      </c>
      <c r="B10" s="8">
        <v>46317</v>
      </c>
      <c r="C10" s="7" t="s">
        <v>207</v>
      </c>
      <c r="D10" s="7">
        <v>9167671510</v>
      </c>
      <c r="E10" s="7" t="s">
        <v>47</v>
      </c>
      <c r="F10" s="7" t="s">
        <v>48</v>
      </c>
      <c r="G10" s="7" t="s">
        <v>49</v>
      </c>
      <c r="H10" s="7"/>
      <c r="I10" s="7"/>
      <c r="J10" s="7">
        <v>10</v>
      </c>
      <c r="K10" s="9" t="str">
        <f>IF(J10="","",IFERROR(INDEX(Products!$B$5:$B$89,MATCH(J10,Products!$A$5:$A$89,0)),"Check ID"))</f>
        <v>Lotus Stand</v>
      </c>
      <c r="L10" s="7">
        <v>50</v>
      </c>
      <c r="M10" s="10">
        <f>IF(J10="","",IFERROR(INDEX(Products!$E$5:$E$89,MATCH(J10,Products!$A$5:$A$89,0)),0))</f>
        <v>340</v>
      </c>
      <c r="N10" s="11">
        <f>IF(L10="","",IFERROR(VLOOKUP(L10,'Discount Slabs'!$A$5:$B$9,2,TRUE()),0))</f>
        <v>0.08</v>
      </c>
      <c r="O10" s="12"/>
      <c r="P10" s="10">
        <f t="shared" si="0"/>
        <v>313</v>
      </c>
      <c r="Q10" s="10">
        <f t="shared" si="1"/>
        <v>15650</v>
      </c>
      <c r="R10" s="13"/>
      <c r="S10" s="10">
        <f t="shared" si="2"/>
        <v>15650</v>
      </c>
      <c r="T10" s="8"/>
      <c r="U10" s="7"/>
      <c r="V10" s="13"/>
      <c r="W10" s="9" t="str">
        <f t="shared" si="3"/>
        <v/>
      </c>
      <c r="X10" s="10">
        <f t="shared" si="4"/>
        <v>15650</v>
      </c>
      <c r="Y10" s="8"/>
      <c r="Z10" s="7"/>
      <c r="AA10" s="7"/>
      <c r="AB10" s="7"/>
      <c r="AC10">
        <f t="shared" si="5"/>
        <v>17000</v>
      </c>
    </row>
    <row r="11" spans="1:29" x14ac:dyDescent="0.3">
      <c r="A11" s="7" t="s">
        <v>208</v>
      </c>
      <c r="B11" s="8">
        <v>46317</v>
      </c>
      <c r="C11" s="7" t="s">
        <v>207</v>
      </c>
      <c r="D11" s="7">
        <v>9167671510</v>
      </c>
      <c r="E11" s="7" t="s">
        <v>47</v>
      </c>
      <c r="F11" s="7" t="s">
        <v>48</v>
      </c>
      <c r="G11" s="7" t="s">
        <v>49</v>
      </c>
      <c r="H11" s="7"/>
      <c r="I11" s="7"/>
      <c r="J11" s="7">
        <v>11</v>
      </c>
      <c r="K11" s="9" t="str">
        <f>IF(J11="","",IFERROR(INDEX(Products!$B$5:$B$89,MATCH(J11,Products!$A$5:$A$89,0)),"Check ID"))</f>
        <v>Lotus Diyas</v>
      </c>
      <c r="L11" s="7">
        <v>50</v>
      </c>
      <c r="M11" s="10">
        <f>IF(J11="","",IFERROR(INDEX(Products!$E$5:$E$89,MATCH(J11,Products!$A$5:$A$89,0)),0))</f>
        <v>430</v>
      </c>
      <c r="N11" s="11">
        <f>IF(L11="","",IFERROR(VLOOKUP(L11,'Discount Slabs'!$A$5:$B$9,2,TRUE()),0))</f>
        <v>0.08</v>
      </c>
      <c r="O11" s="12"/>
      <c r="P11" s="10">
        <f t="shared" si="0"/>
        <v>396</v>
      </c>
      <c r="Q11" s="10">
        <f t="shared" si="1"/>
        <v>19800</v>
      </c>
      <c r="R11" s="13"/>
      <c r="S11" s="10">
        <f t="shared" si="2"/>
        <v>19800</v>
      </c>
      <c r="T11" s="8"/>
      <c r="U11" s="7" t="s">
        <v>98</v>
      </c>
      <c r="V11" s="13"/>
      <c r="W11" s="9" t="str">
        <f t="shared" si="3"/>
        <v>Won</v>
      </c>
      <c r="X11" s="10">
        <f t="shared" si="4"/>
        <v>19800</v>
      </c>
      <c r="Y11" s="8"/>
      <c r="Z11" s="7"/>
      <c r="AA11" s="7"/>
      <c r="AB11" s="7"/>
      <c r="AC11">
        <f t="shared" si="5"/>
        <v>21500</v>
      </c>
    </row>
    <row r="12" spans="1:29" x14ac:dyDescent="0.3">
      <c r="A12" s="7" t="s">
        <v>291</v>
      </c>
      <c r="B12" s="8">
        <v>46321</v>
      </c>
      <c r="C12" s="7" t="s">
        <v>292</v>
      </c>
      <c r="D12" s="7">
        <v>61401601675</v>
      </c>
      <c r="E12" s="7" t="s">
        <v>47</v>
      </c>
      <c r="F12" s="7" t="s">
        <v>81</v>
      </c>
      <c r="G12" s="7" t="s">
        <v>49</v>
      </c>
      <c r="H12" s="7"/>
      <c r="I12" s="7"/>
      <c r="J12" s="7">
        <v>2</v>
      </c>
      <c r="K12" s="9" t="str">
        <f>IF(J12="","",IFERROR(INDEX(Products!$B$5:$B$89,MATCH(J12,Products!$A$5:$A$89,0)),"Check ID"))</f>
        <v>Spice Box 1</v>
      </c>
      <c r="L12" s="7">
        <v>20</v>
      </c>
      <c r="M12" s="10">
        <f>IF(J12="","",IFERROR(INDEX(Products!$E$5:$E$89,MATCH(J12,Products!$A$5:$A$89,0)),0))</f>
        <v>650</v>
      </c>
      <c r="N12" s="11">
        <f>IF(L12="","",IFERROR(VLOOKUP(L12,'Discount Slabs'!$A$5:$B$9,2,TRUE()),0))</f>
        <v>0</v>
      </c>
      <c r="O12" s="12">
        <v>0.04</v>
      </c>
      <c r="P12" s="10">
        <f t="shared" si="0"/>
        <v>624</v>
      </c>
      <c r="Q12" s="10">
        <f t="shared" si="1"/>
        <v>12480</v>
      </c>
      <c r="R12" s="13"/>
      <c r="S12" s="10">
        <f t="shared" si="2"/>
        <v>12480</v>
      </c>
      <c r="T12" s="8"/>
      <c r="U12" s="7"/>
      <c r="V12" s="13"/>
      <c r="W12" s="9" t="str">
        <f t="shared" si="3"/>
        <v/>
      </c>
      <c r="X12" s="10">
        <f t="shared" si="4"/>
        <v>12480</v>
      </c>
      <c r="Y12" s="8"/>
      <c r="Z12" s="7"/>
      <c r="AA12" s="7"/>
      <c r="AB12" s="7"/>
      <c r="AC12">
        <f t="shared" si="5"/>
        <v>13000</v>
      </c>
    </row>
    <row r="13" spans="1:29" x14ac:dyDescent="0.3">
      <c r="A13" s="7"/>
      <c r="B13" s="8"/>
      <c r="C13" s="7"/>
      <c r="D13" s="7"/>
      <c r="E13" s="7"/>
      <c r="F13" s="7"/>
      <c r="G13" s="7"/>
      <c r="H13" s="7"/>
      <c r="I13" s="7"/>
      <c r="J13" s="7"/>
      <c r="K13" s="9" t="str">
        <f>IF(J13="","",IFERROR(INDEX(Products!$B$5:$B$89,MATCH(J13,Products!$A$5:$A$89,0)),"Check ID"))</f>
        <v/>
      </c>
      <c r="L13" s="7"/>
      <c r="M13" s="10" t="str">
        <f>IF(J13="","",IFERROR(INDEX(Products!$E$5:$E$89,MATCH(J13,Products!$A$5:$A$89,0)),0))</f>
        <v/>
      </c>
      <c r="N13" s="11" t="str">
        <f>IF(L13="","",IFERROR(VLOOKUP(L13,'Discount Slabs'!$A$5:$B$9,2,TRUE()),0))</f>
        <v/>
      </c>
      <c r="O13" s="12"/>
      <c r="P13" s="10" t="str">
        <f t="shared" si="0"/>
        <v/>
      </c>
      <c r="Q13" s="10" t="str">
        <f t="shared" si="1"/>
        <v/>
      </c>
      <c r="R13" s="13"/>
      <c r="S13" s="10" t="str">
        <f t="shared" si="2"/>
        <v/>
      </c>
      <c r="T13" s="8"/>
      <c r="U13" s="7"/>
      <c r="V13" s="13"/>
      <c r="W13" s="9" t="str">
        <f t="shared" si="3"/>
        <v/>
      </c>
      <c r="X13" s="10" t="str">
        <f t="shared" si="4"/>
        <v/>
      </c>
      <c r="Y13" s="8"/>
      <c r="Z13" s="7"/>
      <c r="AA13" s="7"/>
      <c r="AB13" s="7"/>
      <c r="AC13" t="str">
        <f t="shared" si="5"/>
        <v/>
      </c>
    </row>
    <row r="14" spans="1:29" x14ac:dyDescent="0.3">
      <c r="A14" s="7"/>
      <c r="B14" s="8"/>
      <c r="C14" s="7"/>
      <c r="D14" s="7"/>
      <c r="E14" s="7"/>
      <c r="F14" s="7"/>
      <c r="G14" s="7"/>
      <c r="H14" s="7"/>
      <c r="I14" s="7"/>
      <c r="J14" s="7"/>
      <c r="K14" s="9" t="str">
        <f>IF(J14="","",IFERROR(INDEX(Products!$B$5:$B$89,MATCH(J14,Products!$A$5:$A$89,0)),"Check ID"))</f>
        <v/>
      </c>
      <c r="L14" s="7"/>
      <c r="M14" s="10" t="str">
        <f>IF(J14="","",IFERROR(INDEX(Products!$E$5:$E$89,MATCH(J14,Products!$A$5:$A$89,0)),0))</f>
        <v/>
      </c>
      <c r="N14" s="11" t="str">
        <f>IF(L14="","",IFERROR(VLOOKUP(L14,'Discount Slabs'!$A$5:$B$9,2,TRUE()),0))</f>
        <v/>
      </c>
      <c r="O14" s="12"/>
      <c r="P14" s="10" t="str">
        <f t="shared" si="0"/>
        <v/>
      </c>
      <c r="Q14" s="10" t="str">
        <f t="shared" si="1"/>
        <v/>
      </c>
      <c r="R14" s="13"/>
      <c r="S14" s="10" t="str">
        <f t="shared" si="2"/>
        <v/>
      </c>
      <c r="T14" s="8"/>
      <c r="U14" s="7"/>
      <c r="V14" s="13"/>
      <c r="W14" s="9" t="str">
        <f t="shared" si="3"/>
        <v/>
      </c>
      <c r="X14" s="10" t="str">
        <f t="shared" si="4"/>
        <v/>
      </c>
      <c r="Y14" s="8"/>
      <c r="Z14" s="7"/>
      <c r="AA14" s="7"/>
      <c r="AB14" s="7"/>
      <c r="AC14" t="str">
        <f t="shared" si="5"/>
        <v/>
      </c>
    </row>
    <row r="15" spans="1:29" x14ac:dyDescent="0.3">
      <c r="A15" s="7"/>
      <c r="B15" s="8"/>
      <c r="C15" s="7"/>
      <c r="D15" s="7"/>
      <c r="E15" s="7"/>
      <c r="F15" s="7"/>
      <c r="G15" s="7"/>
      <c r="H15" s="7"/>
      <c r="I15" s="7"/>
      <c r="J15" s="7"/>
      <c r="K15" s="9" t="str">
        <f>IF(J15="","",IFERROR(INDEX(Products!$B$5:$B$89,MATCH(J15,Products!$A$5:$A$89,0)),"Check ID"))</f>
        <v/>
      </c>
      <c r="L15" s="7"/>
      <c r="M15" s="10" t="str">
        <f>IF(J15="","",IFERROR(INDEX(Products!$E$5:$E$89,MATCH(J15,Products!$A$5:$A$89,0)),0))</f>
        <v/>
      </c>
      <c r="N15" s="11" t="str">
        <f>IF(L15="","",IFERROR(VLOOKUP(L15,'Discount Slabs'!$A$5:$B$9,2,TRUE()),0))</f>
        <v/>
      </c>
      <c r="O15" s="12"/>
      <c r="P15" s="10" t="str">
        <f t="shared" si="0"/>
        <v/>
      </c>
      <c r="Q15" s="10" t="str">
        <f t="shared" si="1"/>
        <v/>
      </c>
      <c r="R15" s="13"/>
      <c r="S15" s="10" t="str">
        <f t="shared" si="2"/>
        <v/>
      </c>
      <c r="T15" s="8"/>
      <c r="U15" s="7"/>
      <c r="V15" s="13"/>
      <c r="W15" s="9" t="str">
        <f t="shared" si="3"/>
        <v/>
      </c>
      <c r="X15" s="10" t="str">
        <f t="shared" si="4"/>
        <v/>
      </c>
      <c r="Y15" s="8"/>
      <c r="Z15" s="7"/>
      <c r="AA15" s="7"/>
      <c r="AB15" s="7"/>
      <c r="AC15" t="str">
        <f t="shared" si="5"/>
        <v/>
      </c>
    </row>
    <row r="16" spans="1:29" x14ac:dyDescent="0.3">
      <c r="A16" s="7"/>
      <c r="B16" s="8"/>
      <c r="C16" s="7"/>
      <c r="D16" s="7"/>
      <c r="E16" s="7"/>
      <c r="F16" s="7"/>
      <c r="G16" s="7"/>
      <c r="H16" s="7"/>
      <c r="I16" s="7"/>
      <c r="J16" s="7"/>
      <c r="K16" s="9" t="str">
        <f>IF(J16="","",IFERROR(INDEX(Products!$B$5:$B$89,MATCH(J16,Products!$A$5:$A$89,0)),"Check ID"))</f>
        <v/>
      </c>
      <c r="L16" s="7"/>
      <c r="M16" s="10" t="str">
        <f>IF(J16="","",IFERROR(INDEX(Products!$E$5:$E$89,MATCH(J16,Products!$A$5:$A$89,0)),0))</f>
        <v/>
      </c>
      <c r="N16" s="11" t="str">
        <f>IF(L16="","",IFERROR(VLOOKUP(L16,'Discount Slabs'!$A$5:$B$9,2,TRUE()),0))</f>
        <v/>
      </c>
      <c r="O16" s="12"/>
      <c r="P16" s="10" t="str">
        <f t="shared" si="0"/>
        <v/>
      </c>
      <c r="Q16" s="10" t="str">
        <f t="shared" si="1"/>
        <v/>
      </c>
      <c r="R16" s="13"/>
      <c r="S16" s="10" t="str">
        <f t="shared" si="2"/>
        <v/>
      </c>
      <c r="T16" s="8"/>
      <c r="U16" s="7"/>
      <c r="V16" s="13"/>
      <c r="W16" s="9" t="str">
        <f t="shared" si="3"/>
        <v/>
      </c>
      <c r="X16" s="10" t="str">
        <f t="shared" si="4"/>
        <v/>
      </c>
      <c r="Y16" s="8"/>
      <c r="Z16" s="7"/>
      <c r="AA16" s="7"/>
      <c r="AB16" s="7"/>
      <c r="AC16" t="str">
        <f t="shared" si="5"/>
        <v/>
      </c>
    </row>
    <row r="17" spans="1:29" x14ac:dyDescent="0.3">
      <c r="A17" s="7"/>
      <c r="B17" s="8"/>
      <c r="C17" s="7"/>
      <c r="D17" s="7"/>
      <c r="E17" s="7"/>
      <c r="F17" s="7"/>
      <c r="G17" s="7"/>
      <c r="H17" s="7"/>
      <c r="I17" s="7"/>
      <c r="J17" s="7"/>
      <c r="K17" s="9" t="str">
        <f>IF(J17="","",IFERROR(INDEX(Products!$B$5:$B$89,MATCH(J17,Products!$A$5:$A$89,0)),"Check ID"))</f>
        <v/>
      </c>
      <c r="L17" s="7"/>
      <c r="M17" s="10" t="str">
        <f>IF(J17="","",IFERROR(INDEX(Products!$E$5:$E$89,MATCH(J17,Products!$A$5:$A$89,0)),0))</f>
        <v/>
      </c>
      <c r="N17" s="11" t="str">
        <f>IF(L17="","",IFERROR(VLOOKUP(L17,'Discount Slabs'!$A$5:$B$9,2,TRUE()),0))</f>
        <v/>
      </c>
      <c r="O17" s="12"/>
      <c r="P17" s="10" t="str">
        <f t="shared" si="0"/>
        <v/>
      </c>
      <c r="Q17" s="10" t="str">
        <f t="shared" si="1"/>
        <v/>
      </c>
      <c r="R17" s="13"/>
      <c r="S17" s="10" t="str">
        <f t="shared" si="2"/>
        <v/>
      </c>
      <c r="T17" s="8"/>
      <c r="U17" s="7"/>
      <c r="V17" s="13"/>
      <c r="W17" s="9" t="str">
        <f t="shared" si="3"/>
        <v/>
      </c>
      <c r="X17" s="10" t="str">
        <f t="shared" si="4"/>
        <v/>
      </c>
      <c r="Y17" s="8"/>
      <c r="Z17" s="7"/>
      <c r="AA17" s="7"/>
      <c r="AB17" s="7"/>
      <c r="AC17" t="str">
        <f t="shared" si="5"/>
        <v/>
      </c>
    </row>
    <row r="18" spans="1:29" x14ac:dyDescent="0.3">
      <c r="A18" s="7"/>
      <c r="B18" s="8"/>
      <c r="C18" s="7"/>
      <c r="D18" s="7"/>
      <c r="E18" s="7"/>
      <c r="F18" s="7"/>
      <c r="G18" s="7"/>
      <c r="H18" s="7"/>
      <c r="I18" s="7"/>
      <c r="J18" s="7"/>
      <c r="K18" s="9" t="str">
        <f>IF(J18="","",IFERROR(INDEX(Products!$B$5:$B$89,MATCH(J18,Products!$A$5:$A$89,0)),"Check ID"))</f>
        <v/>
      </c>
      <c r="L18" s="7"/>
      <c r="M18" s="10" t="str">
        <f>IF(J18="","",IFERROR(INDEX(Products!$E$5:$E$89,MATCH(J18,Products!$A$5:$A$89,0)),0))</f>
        <v/>
      </c>
      <c r="N18" s="11" t="str">
        <f>IF(L18="","",IFERROR(VLOOKUP(L18,'Discount Slabs'!$A$5:$B$9,2,TRUE()),0))</f>
        <v/>
      </c>
      <c r="O18" s="12"/>
      <c r="P18" s="10" t="str">
        <f t="shared" si="0"/>
        <v/>
      </c>
      <c r="Q18" s="10" t="str">
        <f t="shared" si="1"/>
        <v/>
      </c>
      <c r="R18" s="13"/>
      <c r="S18" s="10" t="str">
        <f t="shared" si="2"/>
        <v/>
      </c>
      <c r="T18" s="8"/>
      <c r="U18" s="7"/>
      <c r="V18" s="13"/>
      <c r="W18" s="9" t="str">
        <f t="shared" si="3"/>
        <v/>
      </c>
      <c r="X18" s="10" t="str">
        <f t="shared" si="4"/>
        <v/>
      </c>
      <c r="Y18" s="8"/>
      <c r="Z18" s="7"/>
      <c r="AA18" s="7"/>
      <c r="AB18" s="7"/>
      <c r="AC18" t="str">
        <f t="shared" si="5"/>
        <v/>
      </c>
    </row>
    <row r="19" spans="1:29" x14ac:dyDescent="0.3">
      <c r="A19" s="7"/>
      <c r="B19" s="8"/>
      <c r="C19" s="7"/>
      <c r="D19" s="7"/>
      <c r="E19" s="7"/>
      <c r="F19" s="7"/>
      <c r="G19" s="7"/>
      <c r="H19" s="7"/>
      <c r="I19" s="7"/>
      <c r="J19" s="7"/>
      <c r="K19" s="9" t="str">
        <f>IF(J19="","",IFERROR(INDEX(Products!$B$5:$B$89,MATCH(J19,Products!$A$5:$A$89,0)),"Check ID"))</f>
        <v/>
      </c>
      <c r="L19" s="7"/>
      <c r="M19" s="10" t="str">
        <f>IF(J19="","",IFERROR(INDEX(Products!$E$5:$E$89,MATCH(J19,Products!$A$5:$A$89,0)),0))</f>
        <v/>
      </c>
      <c r="N19" s="11" t="str">
        <f>IF(L19="","",IFERROR(VLOOKUP(L19,'Discount Slabs'!$A$5:$B$9,2,TRUE()),0))</f>
        <v/>
      </c>
      <c r="O19" s="12"/>
      <c r="P19" s="10" t="str">
        <f t="shared" si="0"/>
        <v/>
      </c>
      <c r="Q19" s="10" t="str">
        <f t="shared" si="1"/>
        <v/>
      </c>
      <c r="R19" s="13"/>
      <c r="S19" s="10" t="str">
        <f t="shared" si="2"/>
        <v/>
      </c>
      <c r="T19" s="8"/>
      <c r="U19" s="7"/>
      <c r="V19" s="13"/>
      <c r="W19" s="9" t="str">
        <f t="shared" si="3"/>
        <v/>
      </c>
      <c r="X19" s="10" t="str">
        <f t="shared" si="4"/>
        <v/>
      </c>
      <c r="Y19" s="8"/>
      <c r="Z19" s="7"/>
      <c r="AA19" s="7"/>
      <c r="AB19" s="7"/>
      <c r="AC19" t="str">
        <f t="shared" si="5"/>
        <v/>
      </c>
    </row>
    <row r="20" spans="1:29" x14ac:dyDescent="0.3">
      <c r="A20" s="7"/>
      <c r="B20" s="8"/>
      <c r="C20" s="7"/>
      <c r="D20" s="7"/>
      <c r="E20" s="7"/>
      <c r="F20" s="7"/>
      <c r="G20" s="7"/>
      <c r="H20" s="7"/>
      <c r="I20" s="7"/>
      <c r="J20" s="7"/>
      <c r="K20" s="9" t="str">
        <f>IF(J20="","",IFERROR(INDEX(Products!$B$5:$B$89,MATCH(J20,Products!$A$5:$A$89,0)),"Check ID"))</f>
        <v/>
      </c>
      <c r="L20" s="7"/>
      <c r="M20" s="10" t="str">
        <f>IF(J20="","",IFERROR(INDEX(Products!$E$5:$E$89,MATCH(J20,Products!$A$5:$A$89,0)),0))</f>
        <v/>
      </c>
      <c r="N20" s="11" t="str">
        <f>IF(L20="","",IFERROR(VLOOKUP(L20,'Discount Slabs'!$A$5:$B$9,2,TRUE()),0))</f>
        <v/>
      </c>
      <c r="O20" s="12"/>
      <c r="P20" s="10" t="str">
        <f t="shared" si="0"/>
        <v/>
      </c>
      <c r="Q20" s="10" t="str">
        <f t="shared" si="1"/>
        <v/>
      </c>
      <c r="R20" s="13"/>
      <c r="S20" s="10" t="str">
        <f t="shared" si="2"/>
        <v/>
      </c>
      <c r="T20" s="8"/>
      <c r="U20" s="7"/>
      <c r="V20" s="13"/>
      <c r="W20" s="9" t="str">
        <f t="shared" si="3"/>
        <v/>
      </c>
      <c r="X20" s="10" t="str">
        <f t="shared" si="4"/>
        <v/>
      </c>
      <c r="Y20" s="8"/>
      <c r="Z20" s="7"/>
      <c r="AA20" s="7"/>
      <c r="AB20" s="7"/>
      <c r="AC20" t="str">
        <f t="shared" si="5"/>
        <v/>
      </c>
    </row>
    <row r="21" spans="1:29" x14ac:dyDescent="0.3">
      <c r="A21" s="7"/>
      <c r="B21" s="8"/>
      <c r="C21" s="7"/>
      <c r="D21" s="7"/>
      <c r="E21" s="7"/>
      <c r="F21" s="7"/>
      <c r="G21" s="7"/>
      <c r="H21" s="7"/>
      <c r="I21" s="7"/>
      <c r="J21" s="7"/>
      <c r="K21" s="9" t="str">
        <f>IF(J21="","",IFERROR(INDEX(Products!$B$5:$B$89,MATCH(J21,Products!$A$5:$A$89,0)),"Check ID"))</f>
        <v/>
      </c>
      <c r="L21" s="7"/>
      <c r="M21" s="10" t="str">
        <f>IF(J21="","",IFERROR(INDEX(Products!$E$5:$E$89,MATCH(J21,Products!$A$5:$A$89,0)),0))</f>
        <v/>
      </c>
      <c r="N21" s="11" t="str">
        <f>IF(L21="","",IFERROR(VLOOKUP(L21,'Discount Slabs'!$A$5:$B$9,2,TRUE()),0))</f>
        <v/>
      </c>
      <c r="O21" s="12"/>
      <c r="P21" s="10" t="str">
        <f t="shared" si="0"/>
        <v/>
      </c>
      <c r="Q21" s="10" t="str">
        <f t="shared" si="1"/>
        <v/>
      </c>
      <c r="R21" s="13"/>
      <c r="S21" s="10" t="str">
        <f t="shared" si="2"/>
        <v/>
      </c>
      <c r="T21" s="8"/>
      <c r="U21" s="7"/>
      <c r="V21" s="13"/>
      <c r="W21" s="9" t="str">
        <f t="shared" si="3"/>
        <v/>
      </c>
      <c r="X21" s="10" t="str">
        <f t="shared" si="4"/>
        <v/>
      </c>
      <c r="Y21" s="8"/>
      <c r="Z21" s="7"/>
      <c r="AA21" s="7"/>
      <c r="AB21" s="7"/>
      <c r="AC21" t="str">
        <f t="shared" si="5"/>
        <v/>
      </c>
    </row>
    <row r="22" spans="1:29" x14ac:dyDescent="0.3">
      <c r="A22" s="7"/>
      <c r="B22" s="8"/>
      <c r="C22" s="7"/>
      <c r="D22" s="7"/>
      <c r="E22" s="7"/>
      <c r="F22" s="7"/>
      <c r="G22" s="7"/>
      <c r="H22" s="7"/>
      <c r="I22" s="7"/>
      <c r="J22" s="7"/>
      <c r="K22" s="9" t="str">
        <f>IF(J22="","",IFERROR(INDEX(Products!$B$5:$B$89,MATCH(J22,Products!$A$5:$A$89,0)),"Check ID"))</f>
        <v/>
      </c>
      <c r="L22" s="7"/>
      <c r="M22" s="10" t="str">
        <f>IF(J22="","",IFERROR(INDEX(Products!$E$5:$E$89,MATCH(J22,Products!$A$5:$A$89,0)),0))</f>
        <v/>
      </c>
      <c r="N22" s="11" t="str">
        <f>IF(L22="","",IFERROR(VLOOKUP(L22,'Discount Slabs'!$A$5:$B$9,2,TRUE()),0))</f>
        <v/>
      </c>
      <c r="O22" s="12"/>
      <c r="P22" s="10" t="str">
        <f t="shared" si="0"/>
        <v/>
      </c>
      <c r="Q22" s="10" t="str">
        <f t="shared" si="1"/>
        <v/>
      </c>
      <c r="R22" s="13"/>
      <c r="S22" s="10" t="str">
        <f t="shared" si="2"/>
        <v/>
      </c>
      <c r="T22" s="8"/>
      <c r="U22" s="7"/>
      <c r="V22" s="13"/>
      <c r="W22" s="9" t="str">
        <f t="shared" si="3"/>
        <v/>
      </c>
      <c r="X22" s="10" t="str">
        <f t="shared" si="4"/>
        <v/>
      </c>
      <c r="Y22" s="8"/>
      <c r="Z22" s="7"/>
      <c r="AA22" s="7"/>
      <c r="AB22" s="7"/>
      <c r="AC22" t="str">
        <f t="shared" si="5"/>
        <v/>
      </c>
    </row>
    <row r="23" spans="1:29" x14ac:dyDescent="0.3">
      <c r="A23" s="7"/>
      <c r="B23" s="8"/>
      <c r="C23" s="7"/>
      <c r="D23" s="7"/>
      <c r="E23" s="7"/>
      <c r="F23" s="7"/>
      <c r="G23" s="7"/>
      <c r="H23" s="7"/>
      <c r="I23" s="7"/>
      <c r="J23" s="7"/>
      <c r="K23" s="9" t="str">
        <f>IF(J23="","",IFERROR(INDEX(Products!$B$5:$B$89,MATCH(J23,Products!$A$5:$A$89,0)),"Check ID"))</f>
        <v/>
      </c>
      <c r="L23" s="7"/>
      <c r="M23" s="10" t="str">
        <f>IF(J23="","",IFERROR(INDEX(Products!$E$5:$E$89,MATCH(J23,Products!$A$5:$A$89,0)),0))</f>
        <v/>
      </c>
      <c r="N23" s="11" t="str">
        <f>IF(L23="","",IFERROR(VLOOKUP(L23,'Discount Slabs'!$A$5:$B$9,2,TRUE()),0))</f>
        <v/>
      </c>
      <c r="O23" s="12"/>
      <c r="P23" s="10" t="str">
        <f t="shared" si="0"/>
        <v/>
      </c>
      <c r="Q23" s="10" t="str">
        <f t="shared" si="1"/>
        <v/>
      </c>
      <c r="R23" s="13"/>
      <c r="S23" s="10" t="str">
        <f t="shared" si="2"/>
        <v/>
      </c>
      <c r="T23" s="8"/>
      <c r="U23" s="7"/>
      <c r="V23" s="13"/>
      <c r="W23" s="9" t="str">
        <f t="shared" si="3"/>
        <v/>
      </c>
      <c r="X23" s="10" t="str">
        <f t="shared" si="4"/>
        <v/>
      </c>
      <c r="Y23" s="8"/>
      <c r="Z23" s="7"/>
      <c r="AA23" s="7"/>
      <c r="AB23" s="7"/>
      <c r="AC23" t="str">
        <f t="shared" si="5"/>
        <v/>
      </c>
    </row>
    <row r="24" spans="1:29" x14ac:dyDescent="0.3">
      <c r="A24" s="7"/>
      <c r="B24" s="8"/>
      <c r="C24" s="7"/>
      <c r="D24" s="7"/>
      <c r="E24" s="7"/>
      <c r="F24" s="7"/>
      <c r="G24" s="7"/>
      <c r="H24" s="7"/>
      <c r="I24" s="7"/>
      <c r="J24" s="7"/>
      <c r="K24" s="9" t="str">
        <f>IF(J24="","",IFERROR(INDEX(Products!$B$5:$B$89,MATCH(J24,Products!$A$5:$A$89,0)),"Check ID"))</f>
        <v/>
      </c>
      <c r="L24" s="7"/>
      <c r="M24" s="10" t="str">
        <f>IF(J24="","",IFERROR(INDEX(Products!$E$5:$E$89,MATCH(J24,Products!$A$5:$A$89,0)),0))</f>
        <v/>
      </c>
      <c r="N24" s="11" t="str">
        <f>IF(L24="","",IFERROR(VLOOKUP(L24,'Discount Slabs'!$A$5:$B$9,2,TRUE()),0))</f>
        <v/>
      </c>
      <c r="O24" s="12"/>
      <c r="P24" s="10" t="str">
        <f t="shared" si="0"/>
        <v/>
      </c>
      <c r="Q24" s="10" t="str">
        <f t="shared" si="1"/>
        <v/>
      </c>
      <c r="R24" s="13"/>
      <c r="S24" s="10" t="str">
        <f t="shared" si="2"/>
        <v/>
      </c>
      <c r="T24" s="8"/>
      <c r="U24" s="7"/>
      <c r="V24" s="13"/>
      <c r="W24" s="9" t="str">
        <f t="shared" si="3"/>
        <v/>
      </c>
      <c r="X24" s="10" t="str">
        <f t="shared" si="4"/>
        <v/>
      </c>
      <c r="Y24" s="8"/>
      <c r="Z24" s="7"/>
      <c r="AA24" s="7"/>
      <c r="AB24" s="7"/>
      <c r="AC24" t="str">
        <f t="shared" si="5"/>
        <v/>
      </c>
    </row>
    <row r="25" spans="1:29" x14ac:dyDescent="0.3">
      <c r="A25" s="7"/>
      <c r="B25" s="8"/>
      <c r="C25" s="7"/>
      <c r="D25" s="7"/>
      <c r="E25" s="7"/>
      <c r="F25" s="7"/>
      <c r="G25" s="7"/>
      <c r="H25" s="7"/>
      <c r="I25" s="7"/>
      <c r="J25" s="7"/>
      <c r="K25" s="9" t="str">
        <f>IF(J25="","",IFERROR(INDEX(Products!$B$5:$B$89,MATCH(J25,Products!$A$5:$A$89,0)),"Check ID"))</f>
        <v/>
      </c>
      <c r="L25" s="7"/>
      <c r="M25" s="10" t="str">
        <f>IF(J25="","",IFERROR(INDEX(Products!$E$5:$E$89,MATCH(J25,Products!$A$5:$A$89,0)),0))</f>
        <v/>
      </c>
      <c r="N25" s="11" t="str">
        <f>IF(L25="","",IFERROR(VLOOKUP(L25,'Discount Slabs'!$A$5:$B$9,2,TRUE()),0))</f>
        <v/>
      </c>
      <c r="O25" s="12"/>
      <c r="P25" s="10" t="str">
        <f t="shared" si="0"/>
        <v/>
      </c>
      <c r="Q25" s="10" t="str">
        <f t="shared" si="1"/>
        <v/>
      </c>
      <c r="R25" s="13"/>
      <c r="S25" s="10" t="str">
        <f t="shared" si="2"/>
        <v/>
      </c>
      <c r="T25" s="8"/>
      <c r="U25" s="7"/>
      <c r="V25" s="13"/>
      <c r="W25" s="9" t="str">
        <f t="shared" si="3"/>
        <v/>
      </c>
      <c r="X25" s="10" t="str">
        <f t="shared" si="4"/>
        <v/>
      </c>
      <c r="Y25" s="8"/>
      <c r="Z25" s="7"/>
      <c r="AA25" s="7"/>
      <c r="AB25" s="7"/>
      <c r="AC25" t="str">
        <f t="shared" si="5"/>
        <v/>
      </c>
    </row>
    <row r="26" spans="1:29" x14ac:dyDescent="0.3">
      <c r="A26" s="7"/>
      <c r="B26" s="8"/>
      <c r="C26" s="7"/>
      <c r="D26" s="7"/>
      <c r="E26" s="7"/>
      <c r="F26" s="7"/>
      <c r="G26" s="7"/>
      <c r="H26" s="7"/>
      <c r="I26" s="7"/>
      <c r="J26" s="7"/>
      <c r="K26" s="9" t="str">
        <f>IF(J26="","",IFERROR(INDEX(Products!$B$5:$B$89,MATCH(J26,Products!$A$5:$A$89,0)),"Check ID"))</f>
        <v/>
      </c>
      <c r="L26" s="7"/>
      <c r="M26" s="10" t="str">
        <f>IF(J26="","",IFERROR(INDEX(Products!$E$5:$E$89,MATCH(J26,Products!$A$5:$A$89,0)),0))</f>
        <v/>
      </c>
      <c r="N26" s="11" t="str">
        <f>IF(L26="","",IFERROR(VLOOKUP(L26,'Discount Slabs'!$A$5:$B$9,2,TRUE()),0))</f>
        <v/>
      </c>
      <c r="O26" s="12"/>
      <c r="P26" s="10" t="str">
        <f t="shared" si="0"/>
        <v/>
      </c>
      <c r="Q26" s="10" t="str">
        <f t="shared" si="1"/>
        <v/>
      </c>
      <c r="R26" s="13"/>
      <c r="S26" s="10" t="str">
        <f t="shared" si="2"/>
        <v/>
      </c>
      <c r="T26" s="8"/>
      <c r="U26" s="7"/>
      <c r="V26" s="13"/>
      <c r="W26" s="9" t="str">
        <f t="shared" si="3"/>
        <v/>
      </c>
      <c r="X26" s="10" t="str">
        <f t="shared" si="4"/>
        <v/>
      </c>
      <c r="Y26" s="8"/>
      <c r="Z26" s="7"/>
      <c r="AA26" s="7"/>
      <c r="AB26" s="7"/>
      <c r="AC26" t="str">
        <f t="shared" si="5"/>
        <v/>
      </c>
    </row>
    <row r="27" spans="1:29" x14ac:dyDescent="0.3">
      <c r="A27" s="7"/>
      <c r="B27" s="8"/>
      <c r="C27" s="7"/>
      <c r="D27" s="7"/>
      <c r="E27" s="7"/>
      <c r="F27" s="7"/>
      <c r="G27" s="7"/>
      <c r="H27" s="7"/>
      <c r="I27" s="7"/>
      <c r="J27" s="7"/>
      <c r="K27" s="9" t="str">
        <f>IF(J27="","",IFERROR(INDEX(Products!$B$5:$B$89,MATCH(J27,Products!$A$5:$A$89,0)),"Check ID"))</f>
        <v/>
      </c>
      <c r="L27" s="7"/>
      <c r="M27" s="10" t="str">
        <f>IF(J27="","",IFERROR(INDEX(Products!$E$5:$E$89,MATCH(J27,Products!$A$5:$A$89,0)),0))</f>
        <v/>
      </c>
      <c r="N27" s="11" t="str">
        <f>IF(L27="","",IFERROR(VLOOKUP(L27,'Discount Slabs'!$A$5:$B$9,2,TRUE()),0))</f>
        <v/>
      </c>
      <c r="O27" s="12"/>
      <c r="P27" s="10" t="str">
        <f t="shared" si="0"/>
        <v/>
      </c>
      <c r="Q27" s="10" t="str">
        <f t="shared" si="1"/>
        <v/>
      </c>
      <c r="R27" s="13"/>
      <c r="S27" s="10" t="str">
        <f t="shared" si="2"/>
        <v/>
      </c>
      <c r="T27" s="8"/>
      <c r="U27" s="7"/>
      <c r="V27" s="13"/>
      <c r="W27" s="9" t="str">
        <f t="shared" si="3"/>
        <v/>
      </c>
      <c r="X27" s="10" t="str">
        <f t="shared" si="4"/>
        <v/>
      </c>
      <c r="Y27" s="8"/>
      <c r="Z27" s="7"/>
      <c r="AA27" s="7"/>
      <c r="AB27" s="7"/>
      <c r="AC27" t="str">
        <f t="shared" si="5"/>
        <v/>
      </c>
    </row>
    <row r="28" spans="1:29" x14ac:dyDescent="0.3">
      <c r="A28" s="7"/>
      <c r="B28" s="8"/>
      <c r="C28" s="7"/>
      <c r="D28" s="7"/>
      <c r="E28" s="7"/>
      <c r="F28" s="7"/>
      <c r="G28" s="7"/>
      <c r="H28" s="7"/>
      <c r="I28" s="7"/>
      <c r="J28" s="7"/>
      <c r="K28" s="9" t="str">
        <f>IF(J28="","",IFERROR(INDEX(Products!$B$5:$B$89,MATCH(J28,Products!$A$5:$A$89,0)),"Check ID"))</f>
        <v/>
      </c>
      <c r="L28" s="7"/>
      <c r="M28" s="10" t="str">
        <f>IF(J28="","",IFERROR(INDEX(Products!$E$5:$E$89,MATCH(J28,Products!$A$5:$A$89,0)),0))</f>
        <v/>
      </c>
      <c r="N28" s="11" t="str">
        <f>IF(L28="","",IFERROR(VLOOKUP(L28,'Discount Slabs'!$A$5:$B$9,2,TRUE()),0))</f>
        <v/>
      </c>
      <c r="O28" s="12"/>
      <c r="P28" s="10" t="str">
        <f t="shared" si="0"/>
        <v/>
      </c>
      <c r="Q28" s="10" t="str">
        <f t="shared" si="1"/>
        <v/>
      </c>
      <c r="R28" s="13"/>
      <c r="S28" s="10" t="str">
        <f t="shared" si="2"/>
        <v/>
      </c>
      <c r="T28" s="8"/>
      <c r="U28" s="7"/>
      <c r="V28" s="13"/>
      <c r="W28" s="9" t="str">
        <f t="shared" si="3"/>
        <v/>
      </c>
      <c r="X28" s="10" t="str">
        <f t="shared" si="4"/>
        <v/>
      </c>
      <c r="Y28" s="8"/>
      <c r="Z28" s="7"/>
      <c r="AA28" s="7"/>
      <c r="AB28" s="7"/>
      <c r="AC28" t="str">
        <f t="shared" si="5"/>
        <v/>
      </c>
    </row>
    <row r="29" spans="1:29" x14ac:dyDescent="0.3">
      <c r="A29" s="7"/>
      <c r="B29" s="8"/>
      <c r="C29" s="7"/>
      <c r="D29" s="7"/>
      <c r="E29" s="7"/>
      <c r="F29" s="7"/>
      <c r="G29" s="7"/>
      <c r="H29" s="7"/>
      <c r="I29" s="7"/>
      <c r="J29" s="7"/>
      <c r="K29" s="9" t="str">
        <f>IF(J29="","",IFERROR(INDEX(Products!$B$5:$B$89,MATCH(J29,Products!$A$5:$A$89,0)),"Check ID"))</f>
        <v/>
      </c>
      <c r="L29" s="7"/>
      <c r="M29" s="10" t="str">
        <f>IF(J29="","",IFERROR(INDEX(Products!$E$5:$E$89,MATCH(J29,Products!$A$5:$A$89,0)),0))</f>
        <v/>
      </c>
      <c r="N29" s="11" t="str">
        <f>IF(L29="","",IFERROR(VLOOKUP(L29,'Discount Slabs'!$A$5:$B$9,2,TRUE()),0))</f>
        <v/>
      </c>
      <c r="O29" s="12"/>
      <c r="P29" s="10" t="str">
        <f t="shared" si="0"/>
        <v/>
      </c>
      <c r="Q29" s="10" t="str">
        <f t="shared" si="1"/>
        <v/>
      </c>
      <c r="R29" s="13"/>
      <c r="S29" s="10" t="str">
        <f t="shared" si="2"/>
        <v/>
      </c>
      <c r="T29" s="8"/>
      <c r="U29" s="7"/>
      <c r="V29" s="13"/>
      <c r="W29" s="9" t="str">
        <f t="shared" si="3"/>
        <v/>
      </c>
      <c r="X29" s="10" t="str">
        <f t="shared" si="4"/>
        <v/>
      </c>
      <c r="Y29" s="8"/>
      <c r="Z29" s="7"/>
      <c r="AA29" s="7"/>
      <c r="AB29" s="7"/>
      <c r="AC29" t="str">
        <f t="shared" si="5"/>
        <v/>
      </c>
    </row>
    <row r="30" spans="1:29" x14ac:dyDescent="0.3">
      <c r="A30" s="7"/>
      <c r="B30" s="8"/>
      <c r="C30" s="7"/>
      <c r="D30" s="7"/>
      <c r="E30" s="7"/>
      <c r="F30" s="7"/>
      <c r="G30" s="7"/>
      <c r="H30" s="7"/>
      <c r="I30" s="7"/>
      <c r="J30" s="7"/>
      <c r="K30" s="9" t="str">
        <f>IF(J30="","",IFERROR(INDEX(Products!$B$5:$B$89,MATCH(J30,Products!$A$5:$A$89,0)),"Check ID"))</f>
        <v/>
      </c>
      <c r="L30" s="7"/>
      <c r="M30" s="10" t="str">
        <f>IF(J30="","",IFERROR(INDEX(Products!$E$5:$E$89,MATCH(J30,Products!$A$5:$A$89,0)),0))</f>
        <v/>
      </c>
      <c r="N30" s="11" t="str">
        <f>IF(L30="","",IFERROR(VLOOKUP(L30,'Discount Slabs'!$A$5:$B$9,2,TRUE()),0))</f>
        <v/>
      </c>
      <c r="O30" s="12"/>
      <c r="P30" s="10" t="str">
        <f t="shared" si="0"/>
        <v/>
      </c>
      <c r="Q30" s="10" t="str">
        <f t="shared" si="1"/>
        <v/>
      </c>
      <c r="R30" s="13"/>
      <c r="S30" s="10" t="str">
        <f t="shared" si="2"/>
        <v/>
      </c>
      <c r="T30" s="8"/>
      <c r="U30" s="7"/>
      <c r="V30" s="13"/>
      <c r="W30" s="9" t="str">
        <f t="shared" si="3"/>
        <v/>
      </c>
      <c r="X30" s="10" t="str">
        <f t="shared" si="4"/>
        <v/>
      </c>
      <c r="Y30" s="8"/>
      <c r="Z30" s="7"/>
      <c r="AA30" s="7"/>
      <c r="AB30" s="7"/>
      <c r="AC30" t="str">
        <f t="shared" si="5"/>
        <v/>
      </c>
    </row>
    <row r="31" spans="1:29" x14ac:dyDescent="0.3">
      <c r="A31" s="7"/>
      <c r="B31" s="8"/>
      <c r="C31" s="7"/>
      <c r="D31" s="7"/>
      <c r="E31" s="7"/>
      <c r="F31" s="7"/>
      <c r="G31" s="7"/>
      <c r="H31" s="7"/>
      <c r="I31" s="7"/>
      <c r="J31" s="7"/>
      <c r="K31" s="9" t="str">
        <f>IF(J31="","",IFERROR(INDEX(Products!$B$5:$B$89,MATCH(J31,Products!$A$5:$A$89,0)),"Check ID"))</f>
        <v/>
      </c>
      <c r="L31" s="7"/>
      <c r="M31" s="10" t="str">
        <f>IF(J31="","",IFERROR(INDEX(Products!$E$5:$E$89,MATCH(J31,Products!$A$5:$A$89,0)),0))</f>
        <v/>
      </c>
      <c r="N31" s="11" t="str">
        <f>IF(L31="","",IFERROR(VLOOKUP(L31,'Discount Slabs'!$A$5:$B$9,2,TRUE()),0))</f>
        <v/>
      </c>
      <c r="O31" s="12"/>
      <c r="P31" s="10" t="str">
        <f t="shared" si="0"/>
        <v/>
      </c>
      <c r="Q31" s="10" t="str">
        <f t="shared" si="1"/>
        <v/>
      </c>
      <c r="R31" s="13"/>
      <c r="S31" s="10" t="str">
        <f t="shared" si="2"/>
        <v/>
      </c>
      <c r="T31" s="8"/>
      <c r="U31" s="7"/>
      <c r="V31" s="13"/>
      <c r="W31" s="9" t="str">
        <f t="shared" si="3"/>
        <v/>
      </c>
      <c r="X31" s="10" t="str">
        <f t="shared" si="4"/>
        <v/>
      </c>
      <c r="Y31" s="8"/>
      <c r="Z31" s="7"/>
      <c r="AA31" s="7"/>
      <c r="AB31" s="7"/>
      <c r="AC31" t="str">
        <f t="shared" si="5"/>
        <v/>
      </c>
    </row>
    <row r="32" spans="1:29" x14ac:dyDescent="0.3">
      <c r="A32" s="7"/>
      <c r="B32" s="8"/>
      <c r="C32" s="7"/>
      <c r="D32" s="7"/>
      <c r="E32" s="7"/>
      <c r="F32" s="7"/>
      <c r="G32" s="7"/>
      <c r="H32" s="7"/>
      <c r="I32" s="7"/>
      <c r="J32" s="7"/>
      <c r="K32" s="9" t="str">
        <f>IF(J32="","",IFERROR(INDEX(Products!$B$5:$B$89,MATCH(J32,Products!$A$5:$A$89,0)),"Check ID"))</f>
        <v/>
      </c>
      <c r="L32" s="7"/>
      <c r="M32" s="10" t="str">
        <f>IF(J32="","",IFERROR(INDEX(Products!$E$5:$E$89,MATCH(J32,Products!$A$5:$A$89,0)),0))</f>
        <v/>
      </c>
      <c r="N32" s="11" t="str">
        <f>IF(L32="","",IFERROR(VLOOKUP(L32,'Discount Slabs'!$A$5:$B$9,2,TRUE()),0))</f>
        <v/>
      </c>
      <c r="O32" s="12"/>
      <c r="P32" s="10" t="str">
        <f t="shared" si="0"/>
        <v/>
      </c>
      <c r="Q32" s="10" t="str">
        <f t="shared" si="1"/>
        <v/>
      </c>
      <c r="R32" s="13"/>
      <c r="S32" s="10" t="str">
        <f t="shared" si="2"/>
        <v/>
      </c>
      <c r="T32" s="8"/>
      <c r="U32" s="7"/>
      <c r="V32" s="13"/>
      <c r="W32" s="9" t="str">
        <f t="shared" si="3"/>
        <v/>
      </c>
      <c r="X32" s="10" t="str">
        <f t="shared" si="4"/>
        <v/>
      </c>
      <c r="Y32" s="8"/>
      <c r="Z32" s="7"/>
      <c r="AA32" s="7"/>
      <c r="AB32" s="7"/>
      <c r="AC32" t="str">
        <f t="shared" si="5"/>
        <v/>
      </c>
    </row>
    <row r="33" spans="1:29" x14ac:dyDescent="0.3">
      <c r="A33" s="7"/>
      <c r="B33" s="8"/>
      <c r="C33" s="7"/>
      <c r="D33" s="7"/>
      <c r="E33" s="7"/>
      <c r="F33" s="7"/>
      <c r="G33" s="7"/>
      <c r="H33" s="7"/>
      <c r="I33" s="7"/>
      <c r="J33" s="7"/>
      <c r="K33" s="9" t="str">
        <f>IF(J33="","",IFERROR(INDEX(Products!$B$5:$B$89,MATCH(J33,Products!$A$5:$A$89,0)),"Check ID"))</f>
        <v/>
      </c>
      <c r="L33" s="7"/>
      <c r="M33" s="10" t="str">
        <f>IF(J33="","",IFERROR(INDEX(Products!$E$5:$E$89,MATCH(J33,Products!$A$5:$A$89,0)),0))</f>
        <v/>
      </c>
      <c r="N33" s="11" t="str">
        <f>IF(L33="","",IFERROR(VLOOKUP(L33,'Discount Slabs'!$A$5:$B$9,2,TRUE()),0))</f>
        <v/>
      </c>
      <c r="O33" s="12"/>
      <c r="P33" s="10" t="str">
        <f t="shared" si="0"/>
        <v/>
      </c>
      <c r="Q33" s="10" t="str">
        <f t="shared" si="1"/>
        <v/>
      </c>
      <c r="R33" s="13"/>
      <c r="S33" s="10" t="str">
        <f t="shared" si="2"/>
        <v/>
      </c>
      <c r="T33" s="8"/>
      <c r="U33" s="7"/>
      <c r="V33" s="13"/>
      <c r="W33" s="9" t="str">
        <f t="shared" si="3"/>
        <v/>
      </c>
      <c r="X33" s="10" t="str">
        <f t="shared" si="4"/>
        <v/>
      </c>
      <c r="Y33" s="8"/>
      <c r="Z33" s="7"/>
      <c r="AA33" s="7"/>
      <c r="AB33" s="7"/>
      <c r="AC33" t="str">
        <f t="shared" si="5"/>
        <v/>
      </c>
    </row>
    <row r="34" spans="1:29" x14ac:dyDescent="0.3">
      <c r="A34" s="7"/>
      <c r="B34" s="8"/>
      <c r="C34" s="7"/>
      <c r="D34" s="7"/>
      <c r="E34" s="7"/>
      <c r="F34" s="7"/>
      <c r="G34" s="7"/>
      <c r="H34" s="7"/>
      <c r="I34" s="7"/>
      <c r="J34" s="7"/>
      <c r="K34" s="9" t="str">
        <f>IF(J34="","",IFERROR(INDEX(Products!$B$5:$B$89,MATCH(J34,Products!$A$5:$A$89,0)),"Check ID"))</f>
        <v/>
      </c>
      <c r="L34" s="7"/>
      <c r="M34" s="10" t="str">
        <f>IF(J34="","",IFERROR(INDEX(Products!$E$5:$E$89,MATCH(J34,Products!$A$5:$A$89,0)),0))</f>
        <v/>
      </c>
      <c r="N34" s="11" t="str">
        <f>IF(L34="","",IFERROR(VLOOKUP(L34,'Discount Slabs'!$A$5:$B$9,2,TRUE()),0))</f>
        <v/>
      </c>
      <c r="O34" s="12"/>
      <c r="P34" s="10" t="str">
        <f t="shared" si="0"/>
        <v/>
      </c>
      <c r="Q34" s="10" t="str">
        <f t="shared" si="1"/>
        <v/>
      </c>
      <c r="R34" s="13"/>
      <c r="S34" s="10" t="str">
        <f t="shared" si="2"/>
        <v/>
      </c>
      <c r="T34" s="8"/>
      <c r="U34" s="7"/>
      <c r="V34" s="13"/>
      <c r="W34" s="9" t="str">
        <f t="shared" si="3"/>
        <v/>
      </c>
      <c r="X34" s="10" t="str">
        <f t="shared" si="4"/>
        <v/>
      </c>
      <c r="Y34" s="8"/>
      <c r="Z34" s="7"/>
      <c r="AA34" s="7"/>
      <c r="AB34" s="7"/>
      <c r="AC34" t="str">
        <f t="shared" si="5"/>
        <v/>
      </c>
    </row>
    <row r="35" spans="1:29" x14ac:dyDescent="0.3">
      <c r="A35" s="7"/>
      <c r="B35" s="8"/>
      <c r="C35" s="7"/>
      <c r="D35" s="7"/>
      <c r="E35" s="7"/>
      <c r="F35" s="7"/>
      <c r="G35" s="7"/>
      <c r="H35" s="7"/>
      <c r="I35" s="7"/>
      <c r="J35" s="7"/>
      <c r="K35" s="9" t="str">
        <f>IF(J35="","",IFERROR(INDEX(Products!$B$5:$B$89,MATCH(J35,Products!$A$5:$A$89,0)),"Check ID"))</f>
        <v/>
      </c>
      <c r="L35" s="7"/>
      <c r="M35" s="10" t="str">
        <f>IF(J35="","",IFERROR(INDEX(Products!$E$5:$E$89,MATCH(J35,Products!$A$5:$A$89,0)),0))</f>
        <v/>
      </c>
      <c r="N35" s="11" t="str">
        <f>IF(L35="","",IFERROR(VLOOKUP(L35,'Discount Slabs'!$A$5:$B$9,2,TRUE()),0))</f>
        <v/>
      </c>
      <c r="O35" s="12"/>
      <c r="P35" s="10" t="str">
        <f t="shared" si="0"/>
        <v/>
      </c>
      <c r="Q35" s="10" t="str">
        <f t="shared" si="1"/>
        <v/>
      </c>
      <c r="R35" s="13"/>
      <c r="S35" s="10" t="str">
        <f t="shared" si="2"/>
        <v/>
      </c>
      <c r="T35" s="8"/>
      <c r="U35" s="7"/>
      <c r="V35" s="13"/>
      <c r="W35" s="9" t="str">
        <f t="shared" si="3"/>
        <v/>
      </c>
      <c r="X35" s="10" t="str">
        <f t="shared" si="4"/>
        <v/>
      </c>
      <c r="Y35" s="8"/>
      <c r="Z35" s="7"/>
      <c r="AA35" s="7"/>
      <c r="AB35" s="7"/>
      <c r="AC35" t="str">
        <f t="shared" si="5"/>
        <v/>
      </c>
    </row>
    <row r="36" spans="1:29" x14ac:dyDescent="0.3">
      <c r="A36" s="7"/>
      <c r="B36" s="8"/>
      <c r="C36" s="7"/>
      <c r="D36" s="7"/>
      <c r="E36" s="7"/>
      <c r="F36" s="7"/>
      <c r="G36" s="7"/>
      <c r="H36" s="7"/>
      <c r="I36" s="7"/>
      <c r="J36" s="7"/>
      <c r="K36" s="9" t="str">
        <f>IF(J36="","",IFERROR(INDEX(Products!$B$5:$B$89,MATCH(J36,Products!$A$5:$A$89,0)),"Check ID"))</f>
        <v/>
      </c>
      <c r="L36" s="7"/>
      <c r="M36" s="10" t="str">
        <f>IF(J36="","",IFERROR(INDEX(Products!$E$5:$E$89,MATCH(J36,Products!$A$5:$A$89,0)),0))</f>
        <v/>
      </c>
      <c r="N36" s="11" t="str">
        <f>IF(L36="","",IFERROR(VLOOKUP(L36,'Discount Slabs'!$A$5:$B$9,2,TRUE()),0))</f>
        <v/>
      </c>
      <c r="O36" s="12"/>
      <c r="P36" s="10" t="str">
        <f t="shared" si="0"/>
        <v/>
      </c>
      <c r="Q36" s="10" t="str">
        <f t="shared" si="1"/>
        <v/>
      </c>
      <c r="R36" s="13"/>
      <c r="S36" s="10" t="str">
        <f t="shared" si="2"/>
        <v/>
      </c>
      <c r="T36" s="8"/>
      <c r="U36" s="7"/>
      <c r="V36" s="13"/>
      <c r="W36" s="9" t="str">
        <f t="shared" si="3"/>
        <v/>
      </c>
      <c r="X36" s="10" t="str">
        <f t="shared" si="4"/>
        <v/>
      </c>
      <c r="Y36" s="8"/>
      <c r="Z36" s="7"/>
      <c r="AA36" s="7"/>
      <c r="AB36" s="7"/>
      <c r="AC36" t="str">
        <f t="shared" si="5"/>
        <v/>
      </c>
    </row>
    <row r="37" spans="1:29" x14ac:dyDescent="0.3">
      <c r="A37" s="7"/>
      <c r="B37" s="8"/>
      <c r="C37" s="7"/>
      <c r="D37" s="7"/>
      <c r="E37" s="7"/>
      <c r="F37" s="7"/>
      <c r="G37" s="7"/>
      <c r="H37" s="7"/>
      <c r="I37" s="7"/>
      <c r="J37" s="7"/>
      <c r="K37" s="9" t="str">
        <f>IF(J37="","",IFERROR(INDEX(Products!$B$5:$B$89,MATCH(J37,Products!$A$5:$A$89,0)),"Check ID"))</f>
        <v/>
      </c>
      <c r="L37" s="7"/>
      <c r="M37" s="10" t="str">
        <f>IF(J37="","",IFERROR(INDEX(Products!$E$5:$E$89,MATCH(J37,Products!$A$5:$A$89,0)),0))</f>
        <v/>
      </c>
      <c r="N37" s="11" t="str">
        <f>IF(L37="","",IFERROR(VLOOKUP(L37,'Discount Slabs'!$A$5:$B$9,2,TRUE()),0))</f>
        <v/>
      </c>
      <c r="O37" s="12"/>
      <c r="P37" s="10" t="str">
        <f t="shared" si="0"/>
        <v/>
      </c>
      <c r="Q37" s="10" t="str">
        <f t="shared" si="1"/>
        <v/>
      </c>
      <c r="R37" s="13"/>
      <c r="S37" s="10" t="str">
        <f t="shared" si="2"/>
        <v/>
      </c>
      <c r="T37" s="8"/>
      <c r="U37" s="7"/>
      <c r="V37" s="13"/>
      <c r="W37" s="9" t="str">
        <f t="shared" si="3"/>
        <v/>
      </c>
      <c r="X37" s="10" t="str">
        <f t="shared" si="4"/>
        <v/>
      </c>
      <c r="Y37" s="8"/>
      <c r="Z37" s="7"/>
      <c r="AA37" s="7"/>
      <c r="AB37" s="7"/>
      <c r="AC37" t="str">
        <f t="shared" si="5"/>
        <v/>
      </c>
    </row>
    <row r="38" spans="1:29" x14ac:dyDescent="0.3">
      <c r="A38" s="7"/>
      <c r="B38" s="8"/>
      <c r="C38" s="7"/>
      <c r="D38" s="7"/>
      <c r="E38" s="7"/>
      <c r="F38" s="7"/>
      <c r="G38" s="7"/>
      <c r="H38" s="7"/>
      <c r="I38" s="7"/>
      <c r="J38" s="7"/>
      <c r="K38" s="9" t="str">
        <f>IF(J38="","",IFERROR(INDEX(Products!$B$5:$B$89,MATCH(J38,Products!$A$5:$A$89,0)),"Check ID"))</f>
        <v/>
      </c>
      <c r="L38" s="7"/>
      <c r="M38" s="10" t="str">
        <f>IF(J38="","",IFERROR(INDEX(Products!$E$5:$E$89,MATCH(J38,Products!$A$5:$A$89,0)),0))</f>
        <v/>
      </c>
      <c r="N38" s="11" t="str">
        <f>IF(L38="","",IFERROR(VLOOKUP(L38,'Discount Slabs'!$A$5:$B$9,2,TRUE()),0))</f>
        <v/>
      </c>
      <c r="O38" s="12"/>
      <c r="P38" s="10" t="str">
        <f t="shared" si="0"/>
        <v/>
      </c>
      <c r="Q38" s="10" t="str">
        <f t="shared" si="1"/>
        <v/>
      </c>
      <c r="R38" s="13"/>
      <c r="S38" s="10" t="str">
        <f t="shared" si="2"/>
        <v/>
      </c>
      <c r="T38" s="8"/>
      <c r="U38" s="7"/>
      <c r="V38" s="13"/>
      <c r="W38" s="9" t="str">
        <f t="shared" si="3"/>
        <v/>
      </c>
      <c r="X38" s="10" t="str">
        <f t="shared" si="4"/>
        <v/>
      </c>
      <c r="Y38" s="8"/>
      <c r="Z38" s="7"/>
      <c r="AA38" s="7"/>
      <c r="AB38" s="7"/>
      <c r="AC38" t="str">
        <f t="shared" si="5"/>
        <v/>
      </c>
    </row>
    <row r="39" spans="1:29" x14ac:dyDescent="0.3">
      <c r="A39" s="7"/>
      <c r="B39" s="8"/>
      <c r="C39" s="7"/>
      <c r="D39" s="7"/>
      <c r="E39" s="7"/>
      <c r="F39" s="7"/>
      <c r="G39" s="7"/>
      <c r="H39" s="7"/>
      <c r="I39" s="7"/>
      <c r="J39" s="7"/>
      <c r="K39" s="9" t="str">
        <f>IF(J39="","",IFERROR(INDEX(Products!$B$5:$B$89,MATCH(J39,Products!$A$5:$A$89,0)),"Check ID"))</f>
        <v/>
      </c>
      <c r="L39" s="7"/>
      <c r="M39" s="10" t="str">
        <f>IF(J39="","",IFERROR(INDEX(Products!$E$5:$E$89,MATCH(J39,Products!$A$5:$A$89,0)),0))</f>
        <v/>
      </c>
      <c r="N39" s="11" t="str">
        <f>IF(L39="","",IFERROR(VLOOKUP(L39,'Discount Slabs'!$A$5:$B$9,2,TRUE()),0))</f>
        <v/>
      </c>
      <c r="O39" s="12"/>
      <c r="P39" s="10" t="str">
        <f t="shared" si="0"/>
        <v/>
      </c>
      <c r="Q39" s="10" t="str">
        <f t="shared" si="1"/>
        <v/>
      </c>
      <c r="R39" s="13"/>
      <c r="S39" s="10" t="str">
        <f t="shared" si="2"/>
        <v/>
      </c>
      <c r="T39" s="8"/>
      <c r="U39" s="7"/>
      <c r="V39" s="13"/>
      <c r="W39" s="9" t="str">
        <f t="shared" si="3"/>
        <v/>
      </c>
      <c r="X39" s="10" t="str">
        <f t="shared" si="4"/>
        <v/>
      </c>
      <c r="Y39" s="8"/>
      <c r="Z39" s="7"/>
      <c r="AA39" s="7"/>
      <c r="AB39" s="7"/>
      <c r="AC39" t="str">
        <f t="shared" si="5"/>
        <v/>
      </c>
    </row>
    <row r="40" spans="1:29" x14ac:dyDescent="0.3">
      <c r="A40" s="7"/>
      <c r="B40" s="8"/>
      <c r="C40" s="7"/>
      <c r="D40" s="7"/>
      <c r="E40" s="7"/>
      <c r="F40" s="7"/>
      <c r="G40" s="7"/>
      <c r="H40" s="7"/>
      <c r="I40" s="7"/>
      <c r="J40" s="7"/>
      <c r="K40" s="9" t="str">
        <f>IF(J40="","",IFERROR(INDEX(Products!$B$5:$B$89,MATCH(J40,Products!$A$5:$A$89,0)),"Check ID"))</f>
        <v/>
      </c>
      <c r="L40" s="7"/>
      <c r="M40" s="10" t="str">
        <f>IF(J40="","",IFERROR(INDEX(Products!$E$5:$E$89,MATCH(J40,Products!$A$5:$A$89,0)),0))</f>
        <v/>
      </c>
      <c r="N40" s="11" t="str">
        <f>IF(L40="","",IFERROR(VLOOKUP(L40,'Discount Slabs'!$A$5:$B$9,2,TRUE()),0))</f>
        <v/>
      </c>
      <c r="O40" s="12"/>
      <c r="P40" s="10" t="str">
        <f t="shared" si="0"/>
        <v/>
      </c>
      <c r="Q40" s="10" t="str">
        <f t="shared" si="1"/>
        <v/>
      </c>
      <c r="R40" s="13"/>
      <c r="S40" s="10" t="str">
        <f t="shared" si="2"/>
        <v/>
      </c>
      <c r="T40" s="8"/>
      <c r="U40" s="7"/>
      <c r="V40" s="13"/>
      <c r="W40" s="9" t="str">
        <f t="shared" si="3"/>
        <v/>
      </c>
      <c r="X40" s="10" t="str">
        <f t="shared" si="4"/>
        <v/>
      </c>
      <c r="Y40" s="8"/>
      <c r="Z40" s="7"/>
      <c r="AA40" s="7"/>
      <c r="AB40" s="7"/>
      <c r="AC40" t="str">
        <f t="shared" si="5"/>
        <v/>
      </c>
    </row>
    <row r="41" spans="1:29" x14ac:dyDescent="0.3">
      <c r="A41" s="7"/>
      <c r="B41" s="8"/>
      <c r="C41" s="7"/>
      <c r="D41" s="7"/>
      <c r="E41" s="7"/>
      <c r="F41" s="7"/>
      <c r="G41" s="7"/>
      <c r="H41" s="7"/>
      <c r="I41" s="7"/>
      <c r="J41" s="7"/>
      <c r="K41" s="9" t="str">
        <f>IF(J41="","",IFERROR(INDEX(Products!$B$5:$B$89,MATCH(J41,Products!$A$5:$A$89,0)),"Check ID"))</f>
        <v/>
      </c>
      <c r="L41" s="7"/>
      <c r="M41" s="10" t="str">
        <f>IF(J41="","",IFERROR(INDEX(Products!$E$5:$E$89,MATCH(J41,Products!$A$5:$A$89,0)),0))</f>
        <v/>
      </c>
      <c r="N41" s="11" t="str">
        <f>IF(L41="","",IFERROR(VLOOKUP(L41,'Discount Slabs'!$A$5:$B$9,2,TRUE()),0))</f>
        <v/>
      </c>
      <c r="O41" s="12"/>
      <c r="P41" s="10" t="str">
        <f t="shared" si="0"/>
        <v/>
      </c>
      <c r="Q41" s="10" t="str">
        <f t="shared" si="1"/>
        <v/>
      </c>
      <c r="R41" s="13"/>
      <c r="S41" s="10" t="str">
        <f t="shared" si="2"/>
        <v/>
      </c>
      <c r="T41" s="8"/>
      <c r="U41" s="7"/>
      <c r="V41" s="13"/>
      <c r="W41" s="9" t="str">
        <f t="shared" si="3"/>
        <v/>
      </c>
      <c r="X41" s="10" t="str">
        <f t="shared" si="4"/>
        <v/>
      </c>
      <c r="Y41" s="8"/>
      <c r="Z41" s="7"/>
      <c r="AA41" s="7"/>
      <c r="AB41" s="7"/>
      <c r="AC41" t="str">
        <f t="shared" si="5"/>
        <v/>
      </c>
    </row>
    <row r="42" spans="1:29" x14ac:dyDescent="0.3">
      <c r="A42" s="7"/>
      <c r="B42" s="8"/>
      <c r="C42" s="7"/>
      <c r="D42" s="7"/>
      <c r="E42" s="7"/>
      <c r="F42" s="7"/>
      <c r="G42" s="7"/>
      <c r="H42" s="7"/>
      <c r="I42" s="7"/>
      <c r="J42" s="7"/>
      <c r="K42" s="9" t="str">
        <f>IF(J42="","",IFERROR(INDEX(Products!$B$5:$B$89,MATCH(J42,Products!$A$5:$A$89,0)),"Check ID"))</f>
        <v/>
      </c>
      <c r="L42" s="7"/>
      <c r="M42" s="10" t="str">
        <f>IF(J42="","",IFERROR(INDEX(Products!$E$5:$E$89,MATCH(J42,Products!$A$5:$A$89,0)),0))</f>
        <v/>
      </c>
      <c r="N42" s="11" t="str">
        <f>IF(L42="","",IFERROR(VLOOKUP(L42,'Discount Slabs'!$A$5:$B$9,2,TRUE()),0))</f>
        <v/>
      </c>
      <c r="O42" s="12"/>
      <c r="P42" s="10" t="str">
        <f t="shared" si="0"/>
        <v/>
      </c>
      <c r="Q42" s="10" t="str">
        <f t="shared" si="1"/>
        <v/>
      </c>
      <c r="R42" s="13"/>
      <c r="S42" s="10" t="str">
        <f t="shared" si="2"/>
        <v/>
      </c>
      <c r="T42" s="8"/>
      <c r="U42" s="7"/>
      <c r="V42" s="13"/>
      <c r="W42" s="9" t="str">
        <f t="shared" si="3"/>
        <v/>
      </c>
      <c r="X42" s="10" t="str">
        <f t="shared" si="4"/>
        <v/>
      </c>
      <c r="Y42" s="8"/>
      <c r="Z42" s="7"/>
      <c r="AA42" s="7"/>
      <c r="AB42" s="7"/>
      <c r="AC42" t="str">
        <f t="shared" si="5"/>
        <v/>
      </c>
    </row>
    <row r="43" spans="1:29" x14ac:dyDescent="0.3">
      <c r="A43" s="7"/>
      <c r="B43" s="8"/>
      <c r="C43" s="7"/>
      <c r="D43" s="7"/>
      <c r="E43" s="7"/>
      <c r="F43" s="7"/>
      <c r="G43" s="7"/>
      <c r="H43" s="7"/>
      <c r="I43" s="7"/>
      <c r="J43" s="7"/>
      <c r="K43" s="9" t="str">
        <f>IF(J43="","",IFERROR(INDEX(Products!$B$5:$B$89,MATCH(J43,Products!$A$5:$A$89,0)),"Check ID"))</f>
        <v/>
      </c>
      <c r="L43" s="7"/>
      <c r="M43" s="10" t="str">
        <f>IF(J43="","",IFERROR(INDEX(Products!$E$5:$E$89,MATCH(J43,Products!$A$5:$A$89,0)),0))</f>
        <v/>
      </c>
      <c r="N43" s="11" t="str">
        <f>IF(L43="","",IFERROR(VLOOKUP(L43,'Discount Slabs'!$A$5:$B$9,2,TRUE()),0))</f>
        <v/>
      </c>
      <c r="O43" s="12"/>
      <c r="P43" s="10" t="str">
        <f t="shared" si="0"/>
        <v/>
      </c>
      <c r="Q43" s="10" t="str">
        <f t="shared" si="1"/>
        <v/>
      </c>
      <c r="R43" s="13"/>
      <c r="S43" s="10" t="str">
        <f t="shared" si="2"/>
        <v/>
      </c>
      <c r="T43" s="8"/>
      <c r="U43" s="7"/>
      <c r="V43" s="13"/>
      <c r="W43" s="9" t="str">
        <f t="shared" si="3"/>
        <v/>
      </c>
      <c r="X43" s="10" t="str">
        <f t="shared" si="4"/>
        <v/>
      </c>
      <c r="Y43" s="8"/>
      <c r="Z43" s="7"/>
      <c r="AA43" s="7"/>
      <c r="AB43" s="7"/>
      <c r="AC43" t="str">
        <f t="shared" si="5"/>
        <v/>
      </c>
    </row>
    <row r="44" spans="1:29" x14ac:dyDescent="0.3">
      <c r="A44" s="7"/>
      <c r="B44" s="8"/>
      <c r="C44" s="7"/>
      <c r="D44" s="7"/>
      <c r="E44" s="7"/>
      <c r="F44" s="7"/>
      <c r="G44" s="7"/>
      <c r="H44" s="7"/>
      <c r="I44" s="7"/>
      <c r="J44" s="7"/>
      <c r="K44" s="9" t="str">
        <f>IF(J44="","",IFERROR(INDEX(Products!$B$5:$B$89,MATCH(J44,Products!$A$5:$A$89,0)),"Check ID"))</f>
        <v/>
      </c>
      <c r="L44" s="7"/>
      <c r="M44" s="10" t="str">
        <f>IF(J44="","",IFERROR(INDEX(Products!$E$5:$E$89,MATCH(J44,Products!$A$5:$A$89,0)),0))</f>
        <v/>
      </c>
      <c r="N44" s="11" t="str">
        <f>IF(L44="","",IFERROR(VLOOKUP(L44,'Discount Slabs'!$A$5:$B$9,2,TRUE()),0))</f>
        <v/>
      </c>
      <c r="O44" s="12"/>
      <c r="P44" s="10" t="str">
        <f t="shared" si="0"/>
        <v/>
      </c>
      <c r="Q44" s="10" t="str">
        <f t="shared" si="1"/>
        <v/>
      </c>
      <c r="R44" s="13"/>
      <c r="S44" s="10" t="str">
        <f t="shared" si="2"/>
        <v/>
      </c>
      <c r="T44" s="8"/>
      <c r="U44" s="7"/>
      <c r="V44" s="13"/>
      <c r="W44" s="9" t="str">
        <f t="shared" si="3"/>
        <v/>
      </c>
      <c r="X44" s="10" t="str">
        <f t="shared" si="4"/>
        <v/>
      </c>
      <c r="Y44" s="8"/>
      <c r="Z44" s="7"/>
      <c r="AA44" s="7"/>
      <c r="AB44" s="7"/>
      <c r="AC44" t="str">
        <f t="shared" si="5"/>
        <v/>
      </c>
    </row>
    <row r="45" spans="1:29" x14ac:dyDescent="0.3">
      <c r="A45" s="7"/>
      <c r="B45" s="8"/>
      <c r="C45" s="7"/>
      <c r="D45" s="7"/>
      <c r="E45" s="7"/>
      <c r="F45" s="7"/>
      <c r="G45" s="7"/>
      <c r="H45" s="7"/>
      <c r="I45" s="7"/>
      <c r="J45" s="7"/>
      <c r="K45" s="9" t="str">
        <f>IF(J45="","",IFERROR(INDEX(Products!$B$5:$B$89,MATCH(J45,Products!$A$5:$A$89,0)),"Check ID"))</f>
        <v/>
      </c>
      <c r="L45" s="7"/>
      <c r="M45" s="10" t="str">
        <f>IF(J45="","",IFERROR(INDEX(Products!$E$5:$E$89,MATCH(J45,Products!$A$5:$A$89,0)),0))</f>
        <v/>
      </c>
      <c r="N45" s="11" t="str">
        <f>IF(L45="","",IFERROR(VLOOKUP(L45,'Discount Slabs'!$A$5:$B$9,2,TRUE()),0))</f>
        <v/>
      </c>
      <c r="O45" s="12"/>
      <c r="P45" s="10" t="str">
        <f t="shared" si="0"/>
        <v/>
      </c>
      <c r="Q45" s="10" t="str">
        <f t="shared" si="1"/>
        <v/>
      </c>
      <c r="R45" s="13"/>
      <c r="S45" s="10" t="str">
        <f t="shared" si="2"/>
        <v/>
      </c>
      <c r="T45" s="8"/>
      <c r="U45" s="7"/>
      <c r="V45" s="13"/>
      <c r="W45" s="9" t="str">
        <f t="shared" si="3"/>
        <v/>
      </c>
      <c r="X45" s="10" t="str">
        <f t="shared" si="4"/>
        <v/>
      </c>
      <c r="Y45" s="8"/>
      <c r="Z45" s="7"/>
      <c r="AA45" s="7"/>
      <c r="AB45" s="7"/>
      <c r="AC45" t="str">
        <f t="shared" si="5"/>
        <v/>
      </c>
    </row>
    <row r="46" spans="1:29" x14ac:dyDescent="0.3">
      <c r="A46" s="7"/>
      <c r="B46" s="8"/>
      <c r="C46" s="7"/>
      <c r="D46" s="7"/>
      <c r="E46" s="7"/>
      <c r="F46" s="7"/>
      <c r="G46" s="7"/>
      <c r="H46" s="7"/>
      <c r="I46" s="7"/>
      <c r="J46" s="7"/>
      <c r="K46" s="9" t="str">
        <f>IF(J46="","",IFERROR(INDEX(Products!$B$5:$B$89,MATCH(J46,Products!$A$5:$A$89,0)),"Check ID"))</f>
        <v/>
      </c>
      <c r="L46" s="7"/>
      <c r="M46" s="10" t="str">
        <f>IF(J46="","",IFERROR(INDEX(Products!$E$5:$E$89,MATCH(J46,Products!$A$5:$A$89,0)),0))</f>
        <v/>
      </c>
      <c r="N46" s="11" t="str">
        <f>IF(L46="","",IFERROR(VLOOKUP(L46,'Discount Slabs'!$A$5:$B$9,2,TRUE()),0))</f>
        <v/>
      </c>
      <c r="O46" s="12"/>
      <c r="P46" s="10" t="str">
        <f t="shared" si="0"/>
        <v/>
      </c>
      <c r="Q46" s="10" t="str">
        <f t="shared" si="1"/>
        <v/>
      </c>
      <c r="R46" s="13"/>
      <c r="S46" s="10" t="str">
        <f t="shared" si="2"/>
        <v/>
      </c>
      <c r="T46" s="8"/>
      <c r="U46" s="7"/>
      <c r="V46" s="13"/>
      <c r="W46" s="9" t="str">
        <f t="shared" si="3"/>
        <v/>
      </c>
      <c r="X46" s="10" t="str">
        <f t="shared" si="4"/>
        <v/>
      </c>
      <c r="Y46" s="8"/>
      <c r="Z46" s="7"/>
      <c r="AA46" s="7"/>
      <c r="AB46" s="7"/>
      <c r="AC46" t="str">
        <f t="shared" si="5"/>
        <v/>
      </c>
    </row>
    <row r="47" spans="1:29" x14ac:dyDescent="0.3">
      <c r="A47" s="7"/>
      <c r="B47" s="8"/>
      <c r="C47" s="7"/>
      <c r="D47" s="7"/>
      <c r="E47" s="7"/>
      <c r="F47" s="7"/>
      <c r="G47" s="7"/>
      <c r="H47" s="7"/>
      <c r="I47" s="7"/>
      <c r="J47" s="7"/>
      <c r="K47" s="9" t="str">
        <f>IF(J47="","",IFERROR(INDEX(Products!$B$5:$B$89,MATCH(J47,Products!$A$5:$A$89,0)),"Check ID"))</f>
        <v/>
      </c>
      <c r="L47" s="7"/>
      <c r="M47" s="10" t="str">
        <f>IF(J47="","",IFERROR(INDEX(Products!$E$5:$E$89,MATCH(J47,Products!$A$5:$A$89,0)),0))</f>
        <v/>
      </c>
      <c r="N47" s="11" t="str">
        <f>IF(L47="","",IFERROR(VLOOKUP(L47,'Discount Slabs'!$A$5:$B$9,2,TRUE()),0))</f>
        <v/>
      </c>
      <c r="O47" s="12"/>
      <c r="P47" s="10" t="str">
        <f t="shared" si="0"/>
        <v/>
      </c>
      <c r="Q47" s="10" t="str">
        <f t="shared" si="1"/>
        <v/>
      </c>
      <c r="R47" s="13"/>
      <c r="S47" s="10" t="str">
        <f t="shared" si="2"/>
        <v/>
      </c>
      <c r="T47" s="8"/>
      <c r="U47" s="7"/>
      <c r="V47" s="13"/>
      <c r="W47" s="9" t="str">
        <f t="shared" si="3"/>
        <v/>
      </c>
      <c r="X47" s="10" t="str">
        <f t="shared" si="4"/>
        <v/>
      </c>
      <c r="Y47" s="8"/>
      <c r="Z47" s="7"/>
      <c r="AA47" s="7"/>
      <c r="AB47" s="7"/>
      <c r="AC47" t="str">
        <f t="shared" si="5"/>
        <v/>
      </c>
    </row>
    <row r="48" spans="1:29" x14ac:dyDescent="0.3">
      <c r="A48" s="7"/>
      <c r="B48" s="8"/>
      <c r="C48" s="7"/>
      <c r="D48" s="7"/>
      <c r="E48" s="7"/>
      <c r="F48" s="7"/>
      <c r="G48" s="7"/>
      <c r="H48" s="7"/>
      <c r="I48" s="7"/>
      <c r="J48" s="7"/>
      <c r="K48" s="9" t="str">
        <f>IF(J48="","",IFERROR(INDEX(Products!$B$5:$B$89,MATCH(J48,Products!$A$5:$A$89,0)),"Check ID"))</f>
        <v/>
      </c>
      <c r="L48" s="7"/>
      <c r="M48" s="10" t="str">
        <f>IF(J48="","",IFERROR(INDEX(Products!$E$5:$E$89,MATCH(J48,Products!$A$5:$A$89,0)),0))</f>
        <v/>
      </c>
      <c r="N48" s="11" t="str">
        <f>IF(L48="","",IFERROR(VLOOKUP(L48,'Discount Slabs'!$A$5:$B$9,2,TRUE()),0))</f>
        <v/>
      </c>
      <c r="O48" s="12"/>
      <c r="P48" s="10" t="str">
        <f t="shared" si="0"/>
        <v/>
      </c>
      <c r="Q48" s="10" t="str">
        <f t="shared" si="1"/>
        <v/>
      </c>
      <c r="R48" s="13"/>
      <c r="S48" s="10" t="str">
        <f t="shared" si="2"/>
        <v/>
      </c>
      <c r="T48" s="8"/>
      <c r="U48" s="7"/>
      <c r="V48" s="13"/>
      <c r="W48" s="9" t="str">
        <f t="shared" si="3"/>
        <v/>
      </c>
      <c r="X48" s="10" t="str">
        <f t="shared" si="4"/>
        <v/>
      </c>
      <c r="Y48" s="8"/>
      <c r="Z48" s="7"/>
      <c r="AA48" s="7"/>
      <c r="AB48" s="7"/>
      <c r="AC48" t="str">
        <f t="shared" si="5"/>
        <v/>
      </c>
    </row>
    <row r="49" spans="1:29" x14ac:dyDescent="0.3">
      <c r="A49" s="7"/>
      <c r="B49" s="8"/>
      <c r="C49" s="7"/>
      <c r="D49" s="7"/>
      <c r="E49" s="7"/>
      <c r="F49" s="7"/>
      <c r="G49" s="7"/>
      <c r="H49" s="7"/>
      <c r="I49" s="7"/>
      <c r="J49" s="7"/>
      <c r="K49" s="9" t="str">
        <f>IF(J49="","",IFERROR(INDEX(Products!$B$5:$B$89,MATCH(J49,Products!$A$5:$A$89,0)),"Check ID"))</f>
        <v/>
      </c>
      <c r="L49" s="7"/>
      <c r="M49" s="10" t="str">
        <f>IF(J49="","",IFERROR(INDEX(Products!$E$5:$E$89,MATCH(J49,Products!$A$5:$A$89,0)),0))</f>
        <v/>
      </c>
      <c r="N49" s="11" t="str">
        <f>IF(L49="","",IFERROR(VLOOKUP(L49,'Discount Slabs'!$A$5:$B$9,2,TRUE()),0))</f>
        <v/>
      </c>
      <c r="O49" s="12"/>
      <c r="P49" s="10" t="str">
        <f t="shared" si="0"/>
        <v/>
      </c>
      <c r="Q49" s="10" t="str">
        <f t="shared" si="1"/>
        <v/>
      </c>
      <c r="R49" s="13"/>
      <c r="S49" s="10" t="str">
        <f t="shared" si="2"/>
        <v/>
      </c>
      <c r="T49" s="8"/>
      <c r="U49" s="7"/>
      <c r="V49" s="13"/>
      <c r="W49" s="9" t="str">
        <f t="shared" si="3"/>
        <v/>
      </c>
      <c r="X49" s="10" t="str">
        <f t="shared" si="4"/>
        <v/>
      </c>
      <c r="Y49" s="8"/>
      <c r="Z49" s="7"/>
      <c r="AA49" s="7"/>
      <c r="AB49" s="7"/>
      <c r="AC49" t="str">
        <f t="shared" si="5"/>
        <v/>
      </c>
    </row>
    <row r="50" spans="1:29" x14ac:dyDescent="0.3">
      <c r="A50" s="7"/>
      <c r="B50" s="8"/>
      <c r="C50" s="7"/>
      <c r="D50" s="7"/>
      <c r="E50" s="7"/>
      <c r="F50" s="7"/>
      <c r="G50" s="7"/>
      <c r="H50" s="7"/>
      <c r="I50" s="7"/>
      <c r="J50" s="7"/>
      <c r="K50" s="9" t="str">
        <f>IF(J50="","",IFERROR(INDEX(Products!$B$5:$B$89,MATCH(J50,Products!$A$5:$A$89,0)),"Check ID"))</f>
        <v/>
      </c>
      <c r="L50" s="7"/>
      <c r="M50" s="10" t="str">
        <f>IF(J50="","",IFERROR(INDEX(Products!$E$5:$E$89,MATCH(J50,Products!$A$5:$A$89,0)),0))</f>
        <v/>
      </c>
      <c r="N50" s="11" t="str">
        <f>IF(L50="","",IFERROR(VLOOKUP(L50,'Discount Slabs'!$A$5:$B$9,2,TRUE()),0))</f>
        <v/>
      </c>
      <c r="O50" s="12"/>
      <c r="P50" s="10" t="str">
        <f t="shared" si="0"/>
        <v/>
      </c>
      <c r="Q50" s="10" t="str">
        <f t="shared" si="1"/>
        <v/>
      </c>
      <c r="R50" s="13"/>
      <c r="S50" s="10" t="str">
        <f t="shared" si="2"/>
        <v/>
      </c>
      <c r="T50" s="8"/>
      <c r="U50" s="7"/>
      <c r="V50" s="13"/>
      <c r="W50" s="9" t="str">
        <f t="shared" si="3"/>
        <v/>
      </c>
      <c r="X50" s="10" t="str">
        <f t="shared" si="4"/>
        <v/>
      </c>
      <c r="Y50" s="8"/>
      <c r="Z50" s="7"/>
      <c r="AA50" s="7"/>
      <c r="AB50" s="7"/>
      <c r="AC50" t="str">
        <f t="shared" si="5"/>
        <v/>
      </c>
    </row>
    <row r="51" spans="1:29" x14ac:dyDescent="0.3">
      <c r="A51" s="7"/>
      <c r="B51" s="8"/>
      <c r="C51" s="7"/>
      <c r="D51" s="7"/>
      <c r="E51" s="7"/>
      <c r="F51" s="7"/>
      <c r="G51" s="7"/>
      <c r="H51" s="7"/>
      <c r="I51" s="7"/>
      <c r="J51" s="7"/>
      <c r="K51" s="9" t="str">
        <f>IF(J51="","",IFERROR(INDEX(Products!$B$5:$B$89,MATCH(J51,Products!$A$5:$A$89,0)),"Check ID"))</f>
        <v/>
      </c>
      <c r="L51" s="7"/>
      <c r="M51" s="10" t="str">
        <f>IF(J51="","",IFERROR(INDEX(Products!$E$5:$E$89,MATCH(J51,Products!$A$5:$A$89,0)),0))</f>
        <v/>
      </c>
      <c r="N51" s="11" t="str">
        <f>IF(L51="","",IFERROR(VLOOKUP(L51,'Discount Slabs'!$A$5:$B$9,2,TRUE()),0))</f>
        <v/>
      </c>
      <c r="O51" s="12"/>
      <c r="P51" s="10" t="str">
        <f t="shared" si="0"/>
        <v/>
      </c>
      <c r="Q51" s="10" t="str">
        <f t="shared" si="1"/>
        <v/>
      </c>
      <c r="R51" s="13"/>
      <c r="S51" s="10" t="str">
        <f t="shared" si="2"/>
        <v/>
      </c>
      <c r="T51" s="8"/>
      <c r="U51" s="7"/>
      <c r="V51" s="13"/>
      <c r="W51" s="9" t="str">
        <f t="shared" si="3"/>
        <v/>
      </c>
      <c r="X51" s="10" t="str">
        <f t="shared" si="4"/>
        <v/>
      </c>
      <c r="Y51" s="8"/>
      <c r="Z51" s="7"/>
      <c r="AA51" s="7"/>
      <c r="AB51" s="7"/>
      <c r="AC51" t="str">
        <f t="shared" si="5"/>
        <v/>
      </c>
    </row>
    <row r="52" spans="1:29" x14ac:dyDescent="0.3">
      <c r="A52" s="7"/>
      <c r="B52" s="8"/>
      <c r="C52" s="7"/>
      <c r="D52" s="7"/>
      <c r="E52" s="7"/>
      <c r="F52" s="7"/>
      <c r="G52" s="7"/>
      <c r="H52" s="7"/>
      <c r="I52" s="7"/>
      <c r="J52" s="7"/>
      <c r="K52" s="9" t="str">
        <f>IF(J52="","",IFERROR(INDEX(Products!$B$5:$B$89,MATCH(J52,Products!$A$5:$A$89,0)),"Check ID"))</f>
        <v/>
      </c>
      <c r="L52" s="7"/>
      <c r="M52" s="10" t="str">
        <f>IF(J52="","",IFERROR(INDEX(Products!$E$5:$E$89,MATCH(J52,Products!$A$5:$A$89,0)),0))</f>
        <v/>
      </c>
      <c r="N52" s="11" t="str">
        <f>IF(L52="","",IFERROR(VLOOKUP(L52,'Discount Slabs'!$A$5:$B$9,2,TRUE()),0))</f>
        <v/>
      </c>
      <c r="O52" s="12"/>
      <c r="P52" s="10" t="str">
        <f t="shared" si="0"/>
        <v/>
      </c>
      <c r="Q52" s="10" t="str">
        <f t="shared" si="1"/>
        <v/>
      </c>
      <c r="R52" s="13"/>
      <c r="S52" s="10" t="str">
        <f t="shared" si="2"/>
        <v/>
      </c>
      <c r="T52" s="8"/>
      <c r="U52" s="7"/>
      <c r="V52" s="13"/>
      <c r="W52" s="9" t="str">
        <f t="shared" si="3"/>
        <v/>
      </c>
      <c r="X52" s="10" t="str">
        <f t="shared" si="4"/>
        <v/>
      </c>
      <c r="Y52" s="8"/>
      <c r="Z52" s="7"/>
      <c r="AA52" s="7"/>
      <c r="AB52" s="7"/>
      <c r="AC52" t="str">
        <f t="shared" si="5"/>
        <v/>
      </c>
    </row>
    <row r="53" spans="1:29" x14ac:dyDescent="0.3">
      <c r="A53" s="7"/>
      <c r="B53" s="8"/>
      <c r="C53" s="7"/>
      <c r="D53" s="7"/>
      <c r="E53" s="7"/>
      <c r="F53" s="7"/>
      <c r="G53" s="7"/>
      <c r="H53" s="7"/>
      <c r="I53" s="7"/>
      <c r="J53" s="7"/>
      <c r="K53" s="9" t="str">
        <f>IF(J53="","",IFERROR(INDEX(Products!$B$5:$B$89,MATCH(J53,Products!$A$5:$A$89,0)),"Check ID"))</f>
        <v/>
      </c>
      <c r="L53" s="7"/>
      <c r="M53" s="10" t="str">
        <f>IF(J53="","",IFERROR(INDEX(Products!$E$5:$E$89,MATCH(J53,Products!$A$5:$A$89,0)),0))</f>
        <v/>
      </c>
      <c r="N53" s="11" t="str">
        <f>IF(L53="","",IFERROR(VLOOKUP(L53,'Discount Slabs'!$A$5:$B$9,2,TRUE()),0))</f>
        <v/>
      </c>
      <c r="O53" s="12"/>
      <c r="P53" s="10" t="str">
        <f t="shared" si="0"/>
        <v/>
      </c>
      <c r="Q53" s="10" t="str">
        <f t="shared" si="1"/>
        <v/>
      </c>
      <c r="R53" s="13"/>
      <c r="S53" s="10" t="str">
        <f t="shared" si="2"/>
        <v/>
      </c>
      <c r="T53" s="8"/>
      <c r="U53" s="7"/>
      <c r="V53" s="13"/>
      <c r="W53" s="9" t="str">
        <f t="shared" si="3"/>
        <v/>
      </c>
      <c r="X53" s="10" t="str">
        <f t="shared" si="4"/>
        <v/>
      </c>
      <c r="Y53" s="8"/>
      <c r="Z53" s="7"/>
      <c r="AA53" s="7"/>
      <c r="AB53" s="7"/>
      <c r="AC53" t="str">
        <f t="shared" si="5"/>
        <v/>
      </c>
    </row>
    <row r="54" spans="1:29" x14ac:dyDescent="0.3">
      <c r="A54" s="7"/>
      <c r="B54" s="8"/>
      <c r="C54" s="7"/>
      <c r="D54" s="7"/>
      <c r="E54" s="7"/>
      <c r="F54" s="7"/>
      <c r="G54" s="7"/>
      <c r="H54" s="7"/>
      <c r="I54" s="7"/>
      <c r="J54" s="7"/>
      <c r="K54" s="9" t="str">
        <f>IF(J54="","",IFERROR(INDEX(Products!$B$5:$B$89,MATCH(J54,Products!$A$5:$A$89,0)),"Check ID"))</f>
        <v/>
      </c>
      <c r="L54" s="7"/>
      <c r="M54" s="10" t="str">
        <f>IF(J54="","",IFERROR(INDEX(Products!$E$5:$E$89,MATCH(J54,Products!$A$5:$A$89,0)),0))</f>
        <v/>
      </c>
      <c r="N54" s="11" t="str">
        <f>IF(L54="","",IFERROR(VLOOKUP(L54,'Discount Slabs'!$A$5:$B$9,2,TRUE()),0))</f>
        <v/>
      </c>
      <c r="O54" s="12"/>
      <c r="P54" s="10" t="str">
        <f t="shared" si="0"/>
        <v/>
      </c>
      <c r="Q54" s="10" t="str">
        <f t="shared" si="1"/>
        <v/>
      </c>
      <c r="R54" s="13"/>
      <c r="S54" s="10" t="str">
        <f t="shared" si="2"/>
        <v/>
      </c>
      <c r="T54" s="8"/>
      <c r="U54" s="7"/>
      <c r="V54" s="13"/>
      <c r="W54" s="9" t="str">
        <f t="shared" si="3"/>
        <v/>
      </c>
      <c r="X54" s="10" t="str">
        <f t="shared" si="4"/>
        <v/>
      </c>
      <c r="Y54" s="8"/>
      <c r="Z54" s="7"/>
      <c r="AA54" s="7"/>
      <c r="AB54" s="7"/>
      <c r="AC54" t="str">
        <f t="shared" si="5"/>
        <v/>
      </c>
    </row>
    <row r="55" spans="1:29" x14ac:dyDescent="0.3">
      <c r="A55" s="7"/>
      <c r="B55" s="8"/>
      <c r="C55" s="7"/>
      <c r="D55" s="7"/>
      <c r="E55" s="7"/>
      <c r="F55" s="7"/>
      <c r="G55" s="7"/>
      <c r="H55" s="7"/>
      <c r="I55" s="7"/>
      <c r="J55" s="7"/>
      <c r="K55" s="9" t="str">
        <f>IF(J55="","",IFERROR(INDEX(Products!$B$5:$B$89,MATCH(J55,Products!$A$5:$A$89,0)),"Check ID"))</f>
        <v/>
      </c>
      <c r="L55" s="7"/>
      <c r="M55" s="10" t="str">
        <f>IF(J55="","",IFERROR(INDEX(Products!$E$5:$E$89,MATCH(J55,Products!$A$5:$A$89,0)),0))</f>
        <v/>
      </c>
      <c r="N55" s="11" t="str">
        <f>IF(L55="","",IFERROR(VLOOKUP(L55,'Discount Slabs'!$A$5:$B$9,2,TRUE()),0))</f>
        <v/>
      </c>
      <c r="O55" s="12"/>
      <c r="P55" s="10" t="str">
        <f t="shared" si="0"/>
        <v/>
      </c>
      <c r="Q55" s="10" t="str">
        <f t="shared" si="1"/>
        <v/>
      </c>
      <c r="R55" s="13"/>
      <c r="S55" s="10" t="str">
        <f t="shared" si="2"/>
        <v/>
      </c>
      <c r="T55" s="8"/>
      <c r="U55" s="7"/>
      <c r="V55" s="13"/>
      <c r="W55" s="9" t="str">
        <f t="shared" si="3"/>
        <v/>
      </c>
      <c r="X55" s="10" t="str">
        <f t="shared" si="4"/>
        <v/>
      </c>
      <c r="Y55" s="8"/>
      <c r="Z55" s="7"/>
      <c r="AA55" s="7"/>
      <c r="AB55" s="7"/>
      <c r="AC55" t="str">
        <f t="shared" si="5"/>
        <v/>
      </c>
    </row>
    <row r="56" spans="1:29" x14ac:dyDescent="0.3">
      <c r="A56" s="7"/>
      <c r="B56" s="8"/>
      <c r="C56" s="7"/>
      <c r="D56" s="7"/>
      <c r="E56" s="7"/>
      <c r="F56" s="7"/>
      <c r="G56" s="7"/>
      <c r="H56" s="7"/>
      <c r="I56" s="7"/>
      <c r="J56" s="7"/>
      <c r="K56" s="9" t="str">
        <f>IF(J56="","",IFERROR(INDEX(Products!$B$5:$B$89,MATCH(J56,Products!$A$5:$A$89,0)),"Check ID"))</f>
        <v/>
      </c>
      <c r="L56" s="7"/>
      <c r="M56" s="10" t="str">
        <f>IF(J56="","",IFERROR(INDEX(Products!$E$5:$E$89,MATCH(J56,Products!$A$5:$A$89,0)),0))</f>
        <v/>
      </c>
      <c r="N56" s="11" t="str">
        <f>IF(L56="","",IFERROR(VLOOKUP(L56,'Discount Slabs'!$A$5:$B$9,2,TRUE()),0))</f>
        <v/>
      </c>
      <c r="O56" s="12"/>
      <c r="P56" s="10" t="str">
        <f t="shared" si="0"/>
        <v/>
      </c>
      <c r="Q56" s="10" t="str">
        <f t="shared" si="1"/>
        <v/>
      </c>
      <c r="R56" s="13"/>
      <c r="S56" s="10" t="str">
        <f t="shared" si="2"/>
        <v/>
      </c>
      <c r="T56" s="8"/>
      <c r="U56" s="7"/>
      <c r="V56" s="13"/>
      <c r="W56" s="9" t="str">
        <f t="shared" si="3"/>
        <v/>
      </c>
      <c r="X56" s="10" t="str">
        <f t="shared" si="4"/>
        <v/>
      </c>
      <c r="Y56" s="8"/>
      <c r="Z56" s="7"/>
      <c r="AA56" s="7"/>
      <c r="AB56" s="7"/>
      <c r="AC56" t="str">
        <f t="shared" si="5"/>
        <v/>
      </c>
    </row>
    <row r="57" spans="1:29" x14ac:dyDescent="0.3">
      <c r="A57" s="7"/>
      <c r="B57" s="8"/>
      <c r="C57" s="7"/>
      <c r="D57" s="7"/>
      <c r="E57" s="7"/>
      <c r="F57" s="7"/>
      <c r="G57" s="7"/>
      <c r="H57" s="7"/>
      <c r="I57" s="7"/>
      <c r="J57" s="7"/>
      <c r="K57" s="9" t="str">
        <f>IF(J57="","",IFERROR(INDEX(Products!$B$5:$B$89,MATCH(J57,Products!$A$5:$A$89,0)),"Check ID"))</f>
        <v/>
      </c>
      <c r="L57" s="7"/>
      <c r="M57" s="10" t="str">
        <f>IF(J57="","",IFERROR(INDEX(Products!$E$5:$E$89,MATCH(J57,Products!$A$5:$A$89,0)),0))</f>
        <v/>
      </c>
      <c r="N57" s="11" t="str">
        <f>IF(L57="","",IFERROR(VLOOKUP(L57,'Discount Slabs'!$A$5:$B$9,2,TRUE()),0))</f>
        <v/>
      </c>
      <c r="O57" s="12"/>
      <c r="P57" s="10" t="str">
        <f t="shared" si="0"/>
        <v/>
      </c>
      <c r="Q57" s="10" t="str">
        <f t="shared" si="1"/>
        <v/>
      </c>
      <c r="R57" s="13"/>
      <c r="S57" s="10" t="str">
        <f t="shared" si="2"/>
        <v/>
      </c>
      <c r="T57" s="8"/>
      <c r="U57" s="7"/>
      <c r="V57" s="13"/>
      <c r="W57" s="9" t="str">
        <f t="shared" si="3"/>
        <v/>
      </c>
      <c r="X57" s="10" t="str">
        <f t="shared" si="4"/>
        <v/>
      </c>
      <c r="Y57" s="8"/>
      <c r="Z57" s="7"/>
      <c r="AA57" s="7"/>
      <c r="AB57" s="7"/>
      <c r="AC57" t="str">
        <f t="shared" si="5"/>
        <v/>
      </c>
    </row>
    <row r="58" spans="1:29" x14ac:dyDescent="0.3">
      <c r="A58" s="7"/>
      <c r="B58" s="8"/>
      <c r="C58" s="7"/>
      <c r="D58" s="7"/>
      <c r="E58" s="7"/>
      <c r="F58" s="7"/>
      <c r="G58" s="7"/>
      <c r="H58" s="7"/>
      <c r="I58" s="7"/>
      <c r="J58" s="7"/>
      <c r="K58" s="9" t="str">
        <f>IF(J58="","",IFERROR(INDEX(Products!$B$5:$B$89,MATCH(J58,Products!$A$5:$A$89,0)),"Check ID"))</f>
        <v/>
      </c>
      <c r="L58" s="7"/>
      <c r="M58" s="10" t="str">
        <f>IF(J58="","",IFERROR(INDEX(Products!$E$5:$E$89,MATCH(J58,Products!$A$5:$A$89,0)),0))</f>
        <v/>
      </c>
      <c r="N58" s="11" t="str">
        <f>IF(L58="","",IFERROR(VLOOKUP(L58,'Discount Slabs'!$A$5:$B$9,2,TRUE()),0))</f>
        <v/>
      </c>
      <c r="O58" s="12"/>
      <c r="P58" s="10" t="str">
        <f t="shared" si="0"/>
        <v/>
      </c>
      <c r="Q58" s="10" t="str">
        <f t="shared" si="1"/>
        <v/>
      </c>
      <c r="R58" s="13"/>
      <c r="S58" s="10" t="str">
        <f t="shared" si="2"/>
        <v/>
      </c>
      <c r="T58" s="8"/>
      <c r="U58" s="7"/>
      <c r="V58" s="13"/>
      <c r="W58" s="9" t="str">
        <f t="shared" si="3"/>
        <v/>
      </c>
      <c r="X58" s="10" t="str">
        <f t="shared" si="4"/>
        <v/>
      </c>
      <c r="Y58" s="8"/>
      <c r="Z58" s="7"/>
      <c r="AA58" s="7"/>
      <c r="AB58" s="7"/>
      <c r="AC58" t="str">
        <f t="shared" si="5"/>
        <v/>
      </c>
    </row>
    <row r="59" spans="1:29" x14ac:dyDescent="0.3">
      <c r="A59" s="7"/>
      <c r="B59" s="8"/>
      <c r="C59" s="7"/>
      <c r="D59" s="7"/>
      <c r="E59" s="7"/>
      <c r="F59" s="7"/>
      <c r="G59" s="7"/>
      <c r="H59" s="7"/>
      <c r="I59" s="7"/>
      <c r="J59" s="7"/>
      <c r="K59" s="9" t="str">
        <f>IF(J59="","",IFERROR(INDEX(Products!$B$5:$B$89,MATCH(J59,Products!$A$5:$A$89,0)),"Check ID"))</f>
        <v/>
      </c>
      <c r="L59" s="7"/>
      <c r="M59" s="10" t="str">
        <f>IF(J59="","",IFERROR(INDEX(Products!$E$5:$E$89,MATCH(J59,Products!$A$5:$A$89,0)),0))</f>
        <v/>
      </c>
      <c r="N59" s="11" t="str">
        <f>IF(L59="","",IFERROR(VLOOKUP(L59,'Discount Slabs'!$A$5:$B$9,2,TRUE()),0))</f>
        <v/>
      </c>
      <c r="O59" s="12"/>
      <c r="P59" s="10" t="str">
        <f t="shared" si="0"/>
        <v/>
      </c>
      <c r="Q59" s="10" t="str">
        <f t="shared" si="1"/>
        <v/>
      </c>
      <c r="R59" s="13"/>
      <c r="S59" s="10" t="str">
        <f t="shared" si="2"/>
        <v/>
      </c>
      <c r="T59" s="8"/>
      <c r="U59" s="7"/>
      <c r="V59" s="13"/>
      <c r="W59" s="9" t="str">
        <f t="shared" si="3"/>
        <v/>
      </c>
      <c r="X59" s="10" t="str">
        <f t="shared" si="4"/>
        <v/>
      </c>
      <c r="Y59" s="8"/>
      <c r="Z59" s="7"/>
      <c r="AA59" s="7"/>
      <c r="AB59" s="7"/>
      <c r="AC59" t="str">
        <f t="shared" si="5"/>
        <v/>
      </c>
    </row>
    <row r="60" spans="1:29" x14ac:dyDescent="0.3">
      <c r="A60" s="7"/>
      <c r="B60" s="8"/>
      <c r="C60" s="7"/>
      <c r="D60" s="7"/>
      <c r="E60" s="7"/>
      <c r="F60" s="7"/>
      <c r="G60" s="7"/>
      <c r="H60" s="7"/>
      <c r="I60" s="7"/>
      <c r="J60" s="7"/>
      <c r="K60" s="9" t="str">
        <f>IF(J60="","",IFERROR(INDEX(Products!$B$5:$B$89,MATCH(J60,Products!$A$5:$A$89,0)),"Check ID"))</f>
        <v/>
      </c>
      <c r="L60" s="7"/>
      <c r="M60" s="10" t="str">
        <f>IF(J60="","",IFERROR(INDEX(Products!$E$5:$E$89,MATCH(J60,Products!$A$5:$A$89,0)),0))</f>
        <v/>
      </c>
      <c r="N60" s="11" t="str">
        <f>IF(L60="","",IFERROR(VLOOKUP(L60,'Discount Slabs'!$A$5:$B$9,2,TRUE()),0))</f>
        <v/>
      </c>
      <c r="O60" s="12"/>
      <c r="P60" s="10" t="str">
        <f t="shared" si="0"/>
        <v/>
      </c>
      <c r="Q60" s="10" t="str">
        <f t="shared" si="1"/>
        <v/>
      </c>
      <c r="R60" s="13"/>
      <c r="S60" s="10" t="str">
        <f t="shared" si="2"/>
        <v/>
      </c>
      <c r="T60" s="8"/>
      <c r="U60" s="7"/>
      <c r="V60" s="13"/>
      <c r="W60" s="9" t="str">
        <f t="shared" si="3"/>
        <v/>
      </c>
      <c r="X60" s="10" t="str">
        <f t="shared" si="4"/>
        <v/>
      </c>
      <c r="Y60" s="8"/>
      <c r="Z60" s="7"/>
      <c r="AA60" s="7"/>
      <c r="AB60" s="7"/>
      <c r="AC60" t="str">
        <f t="shared" si="5"/>
        <v/>
      </c>
    </row>
    <row r="61" spans="1:29" x14ac:dyDescent="0.3">
      <c r="A61" s="7"/>
      <c r="B61" s="8"/>
      <c r="C61" s="7"/>
      <c r="D61" s="7"/>
      <c r="E61" s="7"/>
      <c r="F61" s="7"/>
      <c r="G61" s="7"/>
      <c r="H61" s="7"/>
      <c r="I61" s="7"/>
      <c r="J61" s="7"/>
      <c r="K61" s="9" t="str">
        <f>IF(J61="","",IFERROR(INDEX(Products!$B$5:$B$89,MATCH(J61,Products!$A$5:$A$89,0)),"Check ID"))</f>
        <v/>
      </c>
      <c r="L61" s="7"/>
      <c r="M61" s="10" t="str">
        <f>IF(J61="","",IFERROR(INDEX(Products!$E$5:$E$89,MATCH(J61,Products!$A$5:$A$89,0)),0))</f>
        <v/>
      </c>
      <c r="N61" s="11" t="str">
        <f>IF(L61="","",IFERROR(VLOOKUP(L61,'Discount Slabs'!$A$5:$B$9,2,TRUE()),0))</f>
        <v/>
      </c>
      <c r="O61" s="12"/>
      <c r="P61" s="10" t="str">
        <f t="shared" si="0"/>
        <v/>
      </c>
      <c r="Q61" s="10" t="str">
        <f t="shared" si="1"/>
        <v/>
      </c>
      <c r="R61" s="13"/>
      <c r="S61" s="10" t="str">
        <f t="shared" si="2"/>
        <v/>
      </c>
      <c r="T61" s="8"/>
      <c r="U61" s="7"/>
      <c r="V61" s="13"/>
      <c r="W61" s="9" t="str">
        <f t="shared" si="3"/>
        <v/>
      </c>
      <c r="X61" s="10" t="str">
        <f t="shared" si="4"/>
        <v/>
      </c>
      <c r="Y61" s="8"/>
      <c r="Z61" s="7"/>
      <c r="AA61" s="7"/>
      <c r="AB61" s="7"/>
      <c r="AC61" t="str">
        <f t="shared" si="5"/>
        <v/>
      </c>
    </row>
    <row r="62" spans="1:29" x14ac:dyDescent="0.3">
      <c r="A62" s="7"/>
      <c r="B62" s="8"/>
      <c r="C62" s="7"/>
      <c r="D62" s="7"/>
      <c r="E62" s="7"/>
      <c r="F62" s="7"/>
      <c r="G62" s="7"/>
      <c r="H62" s="7"/>
      <c r="I62" s="7"/>
      <c r="J62" s="7"/>
      <c r="K62" s="9" t="str">
        <f>IF(J62="","",IFERROR(INDEX(Products!$B$5:$B$89,MATCH(J62,Products!$A$5:$A$89,0)),"Check ID"))</f>
        <v/>
      </c>
      <c r="L62" s="7"/>
      <c r="M62" s="10" t="str">
        <f>IF(J62="","",IFERROR(INDEX(Products!$E$5:$E$89,MATCH(J62,Products!$A$5:$A$89,0)),0))</f>
        <v/>
      </c>
      <c r="N62" s="11" t="str">
        <f>IF(L62="","",IFERROR(VLOOKUP(L62,'Discount Slabs'!$A$5:$B$9,2,TRUE()),0))</f>
        <v/>
      </c>
      <c r="O62" s="12"/>
      <c r="P62" s="10" t="str">
        <f t="shared" si="0"/>
        <v/>
      </c>
      <c r="Q62" s="10" t="str">
        <f t="shared" si="1"/>
        <v/>
      </c>
      <c r="R62" s="13"/>
      <c r="S62" s="10" t="str">
        <f t="shared" si="2"/>
        <v/>
      </c>
      <c r="T62" s="8"/>
      <c r="U62" s="7"/>
      <c r="V62" s="13"/>
      <c r="W62" s="9" t="str">
        <f t="shared" si="3"/>
        <v/>
      </c>
      <c r="X62" s="10" t="str">
        <f t="shared" si="4"/>
        <v/>
      </c>
      <c r="Y62" s="8"/>
      <c r="Z62" s="7"/>
      <c r="AA62" s="7"/>
      <c r="AB62" s="7"/>
      <c r="AC62" t="str">
        <f t="shared" si="5"/>
        <v/>
      </c>
    </row>
    <row r="63" spans="1:29" x14ac:dyDescent="0.3">
      <c r="A63" s="7"/>
      <c r="B63" s="8"/>
      <c r="C63" s="7"/>
      <c r="D63" s="7"/>
      <c r="E63" s="7"/>
      <c r="F63" s="7"/>
      <c r="G63" s="7"/>
      <c r="H63" s="7"/>
      <c r="I63" s="7"/>
      <c r="J63" s="7"/>
      <c r="K63" s="9" t="str">
        <f>IF(J63="","",IFERROR(INDEX(Products!$B$5:$B$89,MATCH(J63,Products!$A$5:$A$89,0)),"Check ID"))</f>
        <v/>
      </c>
      <c r="L63" s="7"/>
      <c r="M63" s="10" t="str">
        <f>IF(J63="","",IFERROR(INDEX(Products!$E$5:$E$89,MATCH(J63,Products!$A$5:$A$89,0)),0))</f>
        <v/>
      </c>
      <c r="N63" s="11" t="str">
        <f>IF(L63="","",IFERROR(VLOOKUP(L63,'Discount Slabs'!$A$5:$B$9,2,TRUE()),0))</f>
        <v/>
      </c>
      <c r="O63" s="12"/>
      <c r="P63" s="10" t="str">
        <f t="shared" si="0"/>
        <v/>
      </c>
      <c r="Q63" s="10" t="str">
        <f t="shared" si="1"/>
        <v/>
      </c>
      <c r="R63" s="13"/>
      <c r="S63" s="10" t="str">
        <f t="shared" si="2"/>
        <v/>
      </c>
      <c r="T63" s="8"/>
      <c r="U63" s="7"/>
      <c r="V63" s="13"/>
      <c r="W63" s="9" t="str">
        <f t="shared" si="3"/>
        <v/>
      </c>
      <c r="X63" s="10" t="str">
        <f t="shared" si="4"/>
        <v/>
      </c>
      <c r="Y63" s="8"/>
      <c r="Z63" s="7"/>
      <c r="AA63" s="7"/>
      <c r="AB63" s="7"/>
      <c r="AC63" t="str">
        <f t="shared" si="5"/>
        <v/>
      </c>
    </row>
    <row r="64" spans="1:29" x14ac:dyDescent="0.3">
      <c r="A64" s="7"/>
      <c r="B64" s="8"/>
      <c r="C64" s="7"/>
      <c r="D64" s="7"/>
      <c r="E64" s="7"/>
      <c r="F64" s="7"/>
      <c r="G64" s="7"/>
      <c r="H64" s="7"/>
      <c r="I64" s="7"/>
      <c r="J64" s="7"/>
      <c r="K64" s="9" t="str">
        <f>IF(J64="","",IFERROR(INDEX(Products!$B$5:$B$89,MATCH(J64,Products!$A$5:$A$89,0)),"Check ID"))</f>
        <v/>
      </c>
      <c r="L64" s="7"/>
      <c r="M64" s="10" t="str">
        <f>IF(J64="","",IFERROR(INDEX(Products!$E$5:$E$89,MATCH(J64,Products!$A$5:$A$89,0)),0))</f>
        <v/>
      </c>
      <c r="N64" s="11" t="str">
        <f>IF(L64="","",IFERROR(VLOOKUP(L64,'Discount Slabs'!$A$5:$B$9,2,TRUE()),0))</f>
        <v/>
      </c>
      <c r="O64" s="12"/>
      <c r="P64" s="10" t="str">
        <f t="shared" si="0"/>
        <v/>
      </c>
      <c r="Q64" s="10" t="str">
        <f t="shared" si="1"/>
        <v/>
      </c>
      <c r="R64" s="13"/>
      <c r="S64" s="10" t="str">
        <f t="shared" si="2"/>
        <v/>
      </c>
      <c r="T64" s="8"/>
      <c r="U64" s="7"/>
      <c r="V64" s="13"/>
      <c r="W64" s="9" t="str">
        <f t="shared" si="3"/>
        <v/>
      </c>
      <c r="X64" s="10" t="str">
        <f t="shared" si="4"/>
        <v/>
      </c>
      <c r="Y64" s="8"/>
      <c r="Z64" s="7"/>
      <c r="AA64" s="7"/>
      <c r="AB64" s="7"/>
      <c r="AC64" t="str">
        <f t="shared" si="5"/>
        <v/>
      </c>
    </row>
    <row r="65" spans="1:29" x14ac:dyDescent="0.3">
      <c r="A65" s="7"/>
      <c r="B65" s="8"/>
      <c r="C65" s="7"/>
      <c r="D65" s="7"/>
      <c r="E65" s="7"/>
      <c r="F65" s="7"/>
      <c r="G65" s="7"/>
      <c r="H65" s="7"/>
      <c r="I65" s="7"/>
      <c r="J65" s="7"/>
      <c r="K65" s="9" t="str">
        <f>IF(J65="","",IFERROR(INDEX(Products!$B$5:$B$89,MATCH(J65,Products!$A$5:$A$89,0)),"Check ID"))</f>
        <v/>
      </c>
      <c r="L65" s="7"/>
      <c r="M65" s="10" t="str">
        <f>IF(J65="","",IFERROR(INDEX(Products!$E$5:$E$89,MATCH(J65,Products!$A$5:$A$89,0)),0))</f>
        <v/>
      </c>
      <c r="N65" s="11" t="str">
        <f>IF(L65="","",IFERROR(VLOOKUP(L65,'Discount Slabs'!$A$5:$B$9,2,TRUE()),0))</f>
        <v/>
      </c>
      <c r="O65" s="12"/>
      <c r="P65" s="10" t="str">
        <f t="shared" si="0"/>
        <v/>
      </c>
      <c r="Q65" s="10" t="str">
        <f t="shared" si="1"/>
        <v/>
      </c>
      <c r="R65" s="13"/>
      <c r="S65" s="10" t="str">
        <f t="shared" si="2"/>
        <v/>
      </c>
      <c r="T65" s="8"/>
      <c r="U65" s="7"/>
      <c r="V65" s="13"/>
      <c r="W65" s="9" t="str">
        <f t="shared" si="3"/>
        <v/>
      </c>
      <c r="X65" s="10" t="str">
        <f t="shared" si="4"/>
        <v/>
      </c>
      <c r="Y65" s="8"/>
      <c r="Z65" s="7"/>
      <c r="AA65" s="7"/>
      <c r="AB65" s="7"/>
      <c r="AC65" t="str">
        <f t="shared" si="5"/>
        <v/>
      </c>
    </row>
    <row r="66" spans="1:29" x14ac:dyDescent="0.3">
      <c r="A66" s="7"/>
      <c r="B66" s="8"/>
      <c r="C66" s="7"/>
      <c r="D66" s="7"/>
      <c r="E66" s="7"/>
      <c r="F66" s="7"/>
      <c r="G66" s="7"/>
      <c r="H66" s="7"/>
      <c r="I66" s="7"/>
      <c r="J66" s="7"/>
      <c r="K66" s="9" t="str">
        <f>IF(J66="","",IFERROR(INDEX(Products!$B$5:$B$89,MATCH(J66,Products!$A$5:$A$89,0)),"Check ID"))</f>
        <v/>
      </c>
      <c r="L66" s="7"/>
      <c r="M66" s="10" t="str">
        <f>IF(J66="","",IFERROR(INDEX(Products!$E$5:$E$89,MATCH(J66,Products!$A$5:$A$89,0)),0))</f>
        <v/>
      </c>
      <c r="N66" s="11" t="str">
        <f>IF(L66="","",IFERROR(VLOOKUP(L66,'Discount Slabs'!$A$5:$B$9,2,TRUE()),0))</f>
        <v/>
      </c>
      <c r="O66" s="12"/>
      <c r="P66" s="10" t="str">
        <f t="shared" si="0"/>
        <v/>
      </c>
      <c r="Q66" s="10" t="str">
        <f t="shared" si="1"/>
        <v/>
      </c>
      <c r="R66" s="13"/>
      <c r="S66" s="10" t="str">
        <f t="shared" si="2"/>
        <v/>
      </c>
      <c r="T66" s="8"/>
      <c r="U66" s="7"/>
      <c r="V66" s="13"/>
      <c r="W66" s="9" t="str">
        <f t="shared" si="3"/>
        <v/>
      </c>
      <c r="X66" s="10" t="str">
        <f t="shared" si="4"/>
        <v/>
      </c>
      <c r="Y66" s="8"/>
      <c r="Z66" s="7"/>
      <c r="AA66" s="7"/>
      <c r="AB66" s="7"/>
      <c r="AC66" t="str">
        <f t="shared" si="5"/>
        <v/>
      </c>
    </row>
    <row r="67" spans="1:29" x14ac:dyDescent="0.3">
      <c r="A67" s="7"/>
      <c r="B67" s="8"/>
      <c r="C67" s="7"/>
      <c r="D67" s="7"/>
      <c r="E67" s="7"/>
      <c r="F67" s="7"/>
      <c r="G67" s="7"/>
      <c r="H67" s="7"/>
      <c r="I67" s="7"/>
      <c r="J67" s="7"/>
      <c r="K67" s="9" t="str">
        <f>IF(J67="","",IFERROR(INDEX(Products!$B$5:$B$89,MATCH(J67,Products!$A$5:$A$89,0)),"Check ID"))</f>
        <v/>
      </c>
      <c r="L67" s="7"/>
      <c r="M67" s="10" t="str">
        <f>IF(J67="","",IFERROR(INDEX(Products!$E$5:$E$89,MATCH(J67,Products!$A$5:$A$89,0)),0))</f>
        <v/>
      </c>
      <c r="N67" s="11" t="str">
        <f>IF(L67="","",IFERROR(VLOOKUP(L67,'Discount Slabs'!$A$5:$B$9,2,TRUE()),0))</f>
        <v/>
      </c>
      <c r="O67" s="12"/>
      <c r="P67" s="10" t="str">
        <f t="shared" si="0"/>
        <v/>
      </c>
      <c r="Q67" s="10" t="str">
        <f t="shared" si="1"/>
        <v/>
      </c>
      <c r="R67" s="13"/>
      <c r="S67" s="10" t="str">
        <f t="shared" si="2"/>
        <v/>
      </c>
      <c r="T67" s="8"/>
      <c r="U67" s="7"/>
      <c r="V67" s="13"/>
      <c r="W67" s="9" t="str">
        <f t="shared" si="3"/>
        <v/>
      </c>
      <c r="X67" s="10" t="str">
        <f t="shared" si="4"/>
        <v/>
      </c>
      <c r="Y67" s="8"/>
      <c r="Z67" s="7"/>
      <c r="AA67" s="7"/>
      <c r="AB67" s="7"/>
      <c r="AC67" t="str">
        <f t="shared" si="5"/>
        <v/>
      </c>
    </row>
    <row r="68" spans="1:29" x14ac:dyDescent="0.3">
      <c r="A68" s="7"/>
      <c r="B68" s="8"/>
      <c r="C68" s="7"/>
      <c r="D68" s="7"/>
      <c r="E68" s="7"/>
      <c r="F68" s="7"/>
      <c r="G68" s="7"/>
      <c r="H68" s="7"/>
      <c r="I68" s="7"/>
      <c r="J68" s="7"/>
      <c r="K68" s="9" t="str">
        <f>IF(J68="","",IFERROR(INDEX(Products!$B$5:$B$89,MATCH(J68,Products!$A$5:$A$89,0)),"Check ID"))</f>
        <v/>
      </c>
      <c r="L68" s="7"/>
      <c r="M68" s="10" t="str">
        <f>IF(J68="","",IFERROR(INDEX(Products!$E$5:$E$89,MATCH(J68,Products!$A$5:$A$89,0)),0))</f>
        <v/>
      </c>
      <c r="N68" s="11" t="str">
        <f>IF(L68="","",IFERROR(VLOOKUP(L68,'Discount Slabs'!$A$5:$B$9,2,TRUE()),0))</f>
        <v/>
      </c>
      <c r="O68" s="12"/>
      <c r="P68" s="10" t="str">
        <f t="shared" si="0"/>
        <v/>
      </c>
      <c r="Q68" s="10" t="str">
        <f t="shared" si="1"/>
        <v/>
      </c>
      <c r="R68" s="13"/>
      <c r="S68" s="10" t="str">
        <f t="shared" si="2"/>
        <v/>
      </c>
      <c r="T68" s="8"/>
      <c r="U68" s="7"/>
      <c r="V68" s="13"/>
      <c r="W68" s="9" t="str">
        <f t="shared" si="3"/>
        <v/>
      </c>
      <c r="X68" s="10" t="str">
        <f t="shared" si="4"/>
        <v/>
      </c>
      <c r="Y68" s="8"/>
      <c r="Z68" s="7"/>
      <c r="AA68" s="7"/>
      <c r="AB68" s="7"/>
      <c r="AC68" t="str">
        <f t="shared" si="5"/>
        <v/>
      </c>
    </row>
    <row r="69" spans="1:29" x14ac:dyDescent="0.3">
      <c r="A69" s="7"/>
      <c r="B69" s="8"/>
      <c r="C69" s="7"/>
      <c r="D69" s="7"/>
      <c r="E69" s="7"/>
      <c r="F69" s="7"/>
      <c r="G69" s="7"/>
      <c r="H69" s="7"/>
      <c r="I69" s="7"/>
      <c r="J69" s="7"/>
      <c r="K69" s="9" t="str">
        <f>IF(J69="","",IFERROR(INDEX(Products!$B$5:$B$89,MATCH(J69,Products!$A$5:$A$89,0)),"Check ID"))</f>
        <v/>
      </c>
      <c r="L69" s="7"/>
      <c r="M69" s="10" t="str">
        <f>IF(J69="","",IFERROR(INDEX(Products!$E$5:$E$89,MATCH(J69,Products!$A$5:$A$89,0)),0))</f>
        <v/>
      </c>
      <c r="N69" s="11" t="str">
        <f>IF(L69="","",IFERROR(VLOOKUP(L69,'Discount Slabs'!$A$5:$B$9,2,TRUE()),0))</f>
        <v/>
      </c>
      <c r="O69" s="12"/>
      <c r="P69" s="10" t="str">
        <f t="shared" ref="P69:P132" si="6">IF(OR(J69="",L69=""),"",ROUND(M69*(1-N69-N(O69)),0))</f>
        <v/>
      </c>
      <c r="Q69" s="10" t="str">
        <f t="shared" ref="Q69:Q132" si="7">IF(P69="","",P69*L69)</f>
        <v/>
      </c>
      <c r="R69" s="13"/>
      <c r="S69" s="10" t="str">
        <f t="shared" ref="S69:S132" si="8">IF(Q69="","",Q69+N(R69))</f>
        <v/>
      </c>
      <c r="T69" s="8"/>
      <c r="U69" s="7"/>
      <c r="V69" s="13"/>
      <c r="W69" s="9" t="str">
        <f t="shared" ref="W69:W132" si="9">IF(OR(U69="Advance received",U69="In production",U69="Dispatched",U69="Delivered"),"Won","")</f>
        <v/>
      </c>
      <c r="X69" s="10" t="str">
        <f t="shared" ref="X69:X132" si="10">IF(S69="","",S69-N(V69))</f>
        <v/>
      </c>
      <c r="Y69" s="8"/>
      <c r="Z69" s="7"/>
      <c r="AA69" s="7"/>
      <c r="AB69" s="7"/>
      <c r="AC69" t="str">
        <f t="shared" ref="AC69:AC132" si="11">IF(P69="","",L69*M69)</f>
        <v/>
      </c>
    </row>
    <row r="70" spans="1:29" x14ac:dyDescent="0.3">
      <c r="A70" s="7"/>
      <c r="B70" s="8"/>
      <c r="C70" s="7"/>
      <c r="D70" s="7"/>
      <c r="E70" s="7"/>
      <c r="F70" s="7"/>
      <c r="G70" s="7"/>
      <c r="H70" s="7"/>
      <c r="I70" s="7"/>
      <c r="J70" s="7"/>
      <c r="K70" s="9" t="str">
        <f>IF(J70="","",IFERROR(INDEX(Products!$B$5:$B$89,MATCH(J70,Products!$A$5:$A$89,0)),"Check ID"))</f>
        <v/>
      </c>
      <c r="L70" s="7"/>
      <c r="M70" s="10" t="str">
        <f>IF(J70="","",IFERROR(INDEX(Products!$E$5:$E$89,MATCH(J70,Products!$A$5:$A$89,0)),0))</f>
        <v/>
      </c>
      <c r="N70" s="11" t="str">
        <f>IF(L70="","",IFERROR(VLOOKUP(L70,'Discount Slabs'!$A$5:$B$9,2,TRUE()),0))</f>
        <v/>
      </c>
      <c r="O70" s="12"/>
      <c r="P70" s="10" t="str">
        <f t="shared" si="6"/>
        <v/>
      </c>
      <c r="Q70" s="10" t="str">
        <f t="shared" si="7"/>
        <v/>
      </c>
      <c r="R70" s="13"/>
      <c r="S70" s="10" t="str">
        <f t="shared" si="8"/>
        <v/>
      </c>
      <c r="T70" s="8"/>
      <c r="U70" s="7"/>
      <c r="V70" s="13"/>
      <c r="W70" s="9" t="str">
        <f t="shared" si="9"/>
        <v/>
      </c>
      <c r="X70" s="10" t="str">
        <f t="shared" si="10"/>
        <v/>
      </c>
      <c r="Y70" s="8"/>
      <c r="Z70" s="7"/>
      <c r="AA70" s="7"/>
      <c r="AB70" s="7"/>
      <c r="AC70" t="str">
        <f t="shared" si="11"/>
        <v/>
      </c>
    </row>
    <row r="71" spans="1:29" x14ac:dyDescent="0.3">
      <c r="A71" s="7"/>
      <c r="B71" s="8"/>
      <c r="C71" s="7"/>
      <c r="D71" s="7"/>
      <c r="E71" s="7"/>
      <c r="F71" s="7"/>
      <c r="G71" s="7"/>
      <c r="H71" s="7"/>
      <c r="I71" s="7"/>
      <c r="J71" s="7"/>
      <c r="K71" s="9" t="str">
        <f>IF(J71="","",IFERROR(INDEX(Products!$B$5:$B$89,MATCH(J71,Products!$A$5:$A$89,0)),"Check ID"))</f>
        <v/>
      </c>
      <c r="L71" s="7"/>
      <c r="M71" s="10" t="str">
        <f>IF(J71="","",IFERROR(INDEX(Products!$E$5:$E$89,MATCH(J71,Products!$A$5:$A$89,0)),0))</f>
        <v/>
      </c>
      <c r="N71" s="11" t="str">
        <f>IF(L71="","",IFERROR(VLOOKUP(L71,'Discount Slabs'!$A$5:$B$9,2,TRUE()),0))</f>
        <v/>
      </c>
      <c r="O71" s="12"/>
      <c r="P71" s="10" t="str">
        <f t="shared" si="6"/>
        <v/>
      </c>
      <c r="Q71" s="10" t="str">
        <f t="shared" si="7"/>
        <v/>
      </c>
      <c r="R71" s="13"/>
      <c r="S71" s="10" t="str">
        <f t="shared" si="8"/>
        <v/>
      </c>
      <c r="T71" s="8"/>
      <c r="U71" s="7"/>
      <c r="V71" s="13"/>
      <c r="W71" s="9" t="str">
        <f t="shared" si="9"/>
        <v/>
      </c>
      <c r="X71" s="10" t="str">
        <f t="shared" si="10"/>
        <v/>
      </c>
      <c r="Y71" s="8"/>
      <c r="Z71" s="7"/>
      <c r="AA71" s="7"/>
      <c r="AB71" s="7"/>
      <c r="AC71" t="str">
        <f t="shared" si="11"/>
        <v/>
      </c>
    </row>
    <row r="72" spans="1:29" x14ac:dyDescent="0.3">
      <c r="A72" s="7"/>
      <c r="B72" s="8"/>
      <c r="C72" s="7"/>
      <c r="D72" s="7"/>
      <c r="E72" s="7"/>
      <c r="F72" s="7"/>
      <c r="G72" s="7"/>
      <c r="H72" s="7"/>
      <c r="I72" s="7"/>
      <c r="J72" s="7"/>
      <c r="K72" s="9" t="str">
        <f>IF(J72="","",IFERROR(INDEX(Products!$B$5:$B$89,MATCH(J72,Products!$A$5:$A$89,0)),"Check ID"))</f>
        <v/>
      </c>
      <c r="L72" s="7"/>
      <c r="M72" s="10" t="str">
        <f>IF(J72="","",IFERROR(INDEX(Products!$E$5:$E$89,MATCH(J72,Products!$A$5:$A$89,0)),0))</f>
        <v/>
      </c>
      <c r="N72" s="11" t="str">
        <f>IF(L72="","",IFERROR(VLOOKUP(L72,'Discount Slabs'!$A$5:$B$9,2,TRUE()),0))</f>
        <v/>
      </c>
      <c r="O72" s="12"/>
      <c r="P72" s="10" t="str">
        <f t="shared" si="6"/>
        <v/>
      </c>
      <c r="Q72" s="10" t="str">
        <f t="shared" si="7"/>
        <v/>
      </c>
      <c r="R72" s="13"/>
      <c r="S72" s="10" t="str">
        <f t="shared" si="8"/>
        <v/>
      </c>
      <c r="T72" s="8"/>
      <c r="U72" s="7"/>
      <c r="V72" s="13"/>
      <c r="W72" s="9" t="str">
        <f t="shared" si="9"/>
        <v/>
      </c>
      <c r="X72" s="10" t="str">
        <f t="shared" si="10"/>
        <v/>
      </c>
      <c r="Y72" s="8"/>
      <c r="Z72" s="7"/>
      <c r="AA72" s="7"/>
      <c r="AB72" s="7"/>
      <c r="AC72" t="str">
        <f t="shared" si="11"/>
        <v/>
      </c>
    </row>
    <row r="73" spans="1:29" x14ac:dyDescent="0.3">
      <c r="A73" s="7"/>
      <c r="B73" s="8"/>
      <c r="C73" s="7"/>
      <c r="D73" s="7"/>
      <c r="E73" s="7"/>
      <c r="F73" s="7"/>
      <c r="G73" s="7"/>
      <c r="H73" s="7"/>
      <c r="I73" s="7"/>
      <c r="J73" s="7"/>
      <c r="K73" s="9" t="str">
        <f>IF(J73="","",IFERROR(INDEX(Products!$B$5:$B$89,MATCH(J73,Products!$A$5:$A$89,0)),"Check ID"))</f>
        <v/>
      </c>
      <c r="L73" s="7"/>
      <c r="M73" s="10" t="str">
        <f>IF(J73="","",IFERROR(INDEX(Products!$E$5:$E$89,MATCH(J73,Products!$A$5:$A$89,0)),0))</f>
        <v/>
      </c>
      <c r="N73" s="11" t="str">
        <f>IF(L73="","",IFERROR(VLOOKUP(L73,'Discount Slabs'!$A$5:$B$9,2,TRUE()),0))</f>
        <v/>
      </c>
      <c r="O73" s="12"/>
      <c r="P73" s="10" t="str">
        <f t="shared" si="6"/>
        <v/>
      </c>
      <c r="Q73" s="10" t="str">
        <f t="shared" si="7"/>
        <v/>
      </c>
      <c r="R73" s="13"/>
      <c r="S73" s="10" t="str">
        <f t="shared" si="8"/>
        <v/>
      </c>
      <c r="T73" s="8"/>
      <c r="U73" s="7"/>
      <c r="V73" s="13"/>
      <c r="W73" s="9" t="str">
        <f t="shared" si="9"/>
        <v/>
      </c>
      <c r="X73" s="10" t="str">
        <f t="shared" si="10"/>
        <v/>
      </c>
      <c r="Y73" s="8"/>
      <c r="Z73" s="7"/>
      <c r="AA73" s="7"/>
      <c r="AB73" s="7"/>
      <c r="AC73" t="str">
        <f t="shared" si="11"/>
        <v/>
      </c>
    </row>
    <row r="74" spans="1:29" x14ac:dyDescent="0.3">
      <c r="A74" s="7"/>
      <c r="B74" s="8"/>
      <c r="C74" s="7"/>
      <c r="D74" s="7"/>
      <c r="E74" s="7"/>
      <c r="F74" s="7"/>
      <c r="G74" s="7"/>
      <c r="H74" s="7"/>
      <c r="I74" s="7"/>
      <c r="J74" s="7"/>
      <c r="K74" s="9" t="str">
        <f>IF(J74="","",IFERROR(INDEX(Products!$B$5:$B$89,MATCH(J74,Products!$A$5:$A$89,0)),"Check ID"))</f>
        <v/>
      </c>
      <c r="L74" s="7"/>
      <c r="M74" s="10" t="str">
        <f>IF(J74="","",IFERROR(INDEX(Products!$E$5:$E$89,MATCH(J74,Products!$A$5:$A$89,0)),0))</f>
        <v/>
      </c>
      <c r="N74" s="11" t="str">
        <f>IF(L74="","",IFERROR(VLOOKUP(L74,'Discount Slabs'!$A$5:$B$9,2,TRUE()),0))</f>
        <v/>
      </c>
      <c r="O74" s="12"/>
      <c r="P74" s="10" t="str">
        <f t="shared" si="6"/>
        <v/>
      </c>
      <c r="Q74" s="10" t="str">
        <f t="shared" si="7"/>
        <v/>
      </c>
      <c r="R74" s="13"/>
      <c r="S74" s="10" t="str">
        <f t="shared" si="8"/>
        <v/>
      </c>
      <c r="T74" s="8"/>
      <c r="U74" s="7"/>
      <c r="V74" s="13"/>
      <c r="W74" s="9" t="str">
        <f t="shared" si="9"/>
        <v/>
      </c>
      <c r="X74" s="10" t="str">
        <f t="shared" si="10"/>
        <v/>
      </c>
      <c r="Y74" s="8"/>
      <c r="Z74" s="7"/>
      <c r="AA74" s="7"/>
      <c r="AB74" s="7"/>
      <c r="AC74" t="str">
        <f t="shared" si="11"/>
        <v/>
      </c>
    </row>
    <row r="75" spans="1:29" x14ac:dyDescent="0.3">
      <c r="A75" s="7"/>
      <c r="B75" s="8"/>
      <c r="C75" s="7"/>
      <c r="D75" s="7"/>
      <c r="E75" s="7"/>
      <c r="F75" s="7"/>
      <c r="G75" s="7"/>
      <c r="H75" s="7"/>
      <c r="I75" s="7"/>
      <c r="J75" s="7"/>
      <c r="K75" s="9" t="str">
        <f>IF(J75="","",IFERROR(INDEX(Products!$B$5:$B$89,MATCH(J75,Products!$A$5:$A$89,0)),"Check ID"))</f>
        <v/>
      </c>
      <c r="L75" s="7"/>
      <c r="M75" s="10" t="str">
        <f>IF(J75="","",IFERROR(INDEX(Products!$E$5:$E$89,MATCH(J75,Products!$A$5:$A$89,0)),0))</f>
        <v/>
      </c>
      <c r="N75" s="11" t="str">
        <f>IF(L75="","",IFERROR(VLOOKUP(L75,'Discount Slabs'!$A$5:$B$9,2,TRUE()),0))</f>
        <v/>
      </c>
      <c r="O75" s="12"/>
      <c r="P75" s="10" t="str">
        <f t="shared" si="6"/>
        <v/>
      </c>
      <c r="Q75" s="10" t="str">
        <f t="shared" si="7"/>
        <v/>
      </c>
      <c r="R75" s="13"/>
      <c r="S75" s="10" t="str">
        <f t="shared" si="8"/>
        <v/>
      </c>
      <c r="T75" s="8"/>
      <c r="U75" s="7"/>
      <c r="V75" s="13"/>
      <c r="W75" s="9" t="str">
        <f t="shared" si="9"/>
        <v/>
      </c>
      <c r="X75" s="10" t="str">
        <f t="shared" si="10"/>
        <v/>
      </c>
      <c r="Y75" s="8"/>
      <c r="Z75" s="7"/>
      <c r="AA75" s="7"/>
      <c r="AB75" s="7"/>
      <c r="AC75" t="str">
        <f t="shared" si="11"/>
        <v/>
      </c>
    </row>
    <row r="76" spans="1:29" x14ac:dyDescent="0.3">
      <c r="A76" s="7"/>
      <c r="B76" s="8"/>
      <c r="C76" s="7"/>
      <c r="D76" s="7"/>
      <c r="E76" s="7"/>
      <c r="F76" s="7"/>
      <c r="G76" s="7"/>
      <c r="H76" s="7"/>
      <c r="I76" s="7"/>
      <c r="J76" s="7"/>
      <c r="K76" s="9" t="str">
        <f>IF(J76="","",IFERROR(INDEX(Products!$B$5:$B$89,MATCH(J76,Products!$A$5:$A$89,0)),"Check ID"))</f>
        <v/>
      </c>
      <c r="L76" s="7"/>
      <c r="M76" s="10" t="str">
        <f>IF(J76="","",IFERROR(INDEX(Products!$E$5:$E$89,MATCH(J76,Products!$A$5:$A$89,0)),0))</f>
        <v/>
      </c>
      <c r="N76" s="11" t="str">
        <f>IF(L76="","",IFERROR(VLOOKUP(L76,'Discount Slabs'!$A$5:$B$9,2,TRUE()),0))</f>
        <v/>
      </c>
      <c r="O76" s="12"/>
      <c r="P76" s="10" t="str">
        <f t="shared" si="6"/>
        <v/>
      </c>
      <c r="Q76" s="10" t="str">
        <f t="shared" si="7"/>
        <v/>
      </c>
      <c r="R76" s="13"/>
      <c r="S76" s="10" t="str">
        <f t="shared" si="8"/>
        <v/>
      </c>
      <c r="T76" s="8"/>
      <c r="U76" s="7"/>
      <c r="V76" s="13"/>
      <c r="W76" s="9" t="str">
        <f t="shared" si="9"/>
        <v/>
      </c>
      <c r="X76" s="10" t="str">
        <f t="shared" si="10"/>
        <v/>
      </c>
      <c r="Y76" s="8"/>
      <c r="Z76" s="7"/>
      <c r="AA76" s="7"/>
      <c r="AB76" s="7"/>
      <c r="AC76" t="str">
        <f t="shared" si="11"/>
        <v/>
      </c>
    </row>
    <row r="77" spans="1:29" x14ac:dyDescent="0.3">
      <c r="A77" s="7"/>
      <c r="B77" s="8"/>
      <c r="C77" s="7"/>
      <c r="D77" s="7"/>
      <c r="E77" s="7"/>
      <c r="F77" s="7"/>
      <c r="G77" s="7"/>
      <c r="H77" s="7"/>
      <c r="I77" s="7"/>
      <c r="J77" s="7"/>
      <c r="K77" s="9" t="str">
        <f>IF(J77="","",IFERROR(INDEX(Products!$B$5:$B$89,MATCH(J77,Products!$A$5:$A$89,0)),"Check ID"))</f>
        <v/>
      </c>
      <c r="L77" s="7"/>
      <c r="M77" s="10" t="str">
        <f>IF(J77="","",IFERROR(INDEX(Products!$E$5:$E$89,MATCH(J77,Products!$A$5:$A$89,0)),0))</f>
        <v/>
      </c>
      <c r="N77" s="11" t="str">
        <f>IF(L77="","",IFERROR(VLOOKUP(L77,'Discount Slabs'!$A$5:$B$9,2,TRUE()),0))</f>
        <v/>
      </c>
      <c r="O77" s="12"/>
      <c r="P77" s="10" t="str">
        <f t="shared" si="6"/>
        <v/>
      </c>
      <c r="Q77" s="10" t="str">
        <f t="shared" si="7"/>
        <v/>
      </c>
      <c r="R77" s="13"/>
      <c r="S77" s="10" t="str">
        <f t="shared" si="8"/>
        <v/>
      </c>
      <c r="T77" s="8"/>
      <c r="U77" s="7"/>
      <c r="V77" s="13"/>
      <c r="W77" s="9" t="str">
        <f t="shared" si="9"/>
        <v/>
      </c>
      <c r="X77" s="10" t="str">
        <f t="shared" si="10"/>
        <v/>
      </c>
      <c r="Y77" s="8"/>
      <c r="Z77" s="7"/>
      <c r="AA77" s="7"/>
      <c r="AB77" s="7"/>
      <c r="AC77" t="str">
        <f t="shared" si="11"/>
        <v/>
      </c>
    </row>
    <row r="78" spans="1:29" x14ac:dyDescent="0.3">
      <c r="A78" s="7"/>
      <c r="B78" s="8"/>
      <c r="C78" s="7"/>
      <c r="D78" s="7"/>
      <c r="E78" s="7"/>
      <c r="F78" s="7"/>
      <c r="G78" s="7"/>
      <c r="H78" s="7"/>
      <c r="I78" s="7"/>
      <c r="J78" s="7"/>
      <c r="K78" s="9" t="str">
        <f>IF(J78="","",IFERROR(INDEX(Products!$B$5:$B$89,MATCH(J78,Products!$A$5:$A$89,0)),"Check ID"))</f>
        <v/>
      </c>
      <c r="L78" s="7"/>
      <c r="M78" s="10" t="str">
        <f>IF(J78="","",IFERROR(INDEX(Products!$E$5:$E$89,MATCH(J78,Products!$A$5:$A$89,0)),0))</f>
        <v/>
      </c>
      <c r="N78" s="11" t="str">
        <f>IF(L78="","",IFERROR(VLOOKUP(L78,'Discount Slabs'!$A$5:$B$9,2,TRUE()),0))</f>
        <v/>
      </c>
      <c r="O78" s="12"/>
      <c r="P78" s="10" t="str">
        <f t="shared" si="6"/>
        <v/>
      </c>
      <c r="Q78" s="10" t="str">
        <f t="shared" si="7"/>
        <v/>
      </c>
      <c r="R78" s="13"/>
      <c r="S78" s="10" t="str">
        <f t="shared" si="8"/>
        <v/>
      </c>
      <c r="T78" s="8"/>
      <c r="U78" s="7"/>
      <c r="V78" s="13"/>
      <c r="W78" s="9" t="str">
        <f t="shared" si="9"/>
        <v/>
      </c>
      <c r="X78" s="10" t="str">
        <f t="shared" si="10"/>
        <v/>
      </c>
      <c r="Y78" s="8"/>
      <c r="Z78" s="7"/>
      <c r="AA78" s="7"/>
      <c r="AB78" s="7"/>
      <c r="AC78" t="str">
        <f t="shared" si="11"/>
        <v/>
      </c>
    </row>
    <row r="79" spans="1:29" x14ac:dyDescent="0.3">
      <c r="A79" s="7"/>
      <c r="B79" s="8"/>
      <c r="C79" s="7"/>
      <c r="D79" s="7"/>
      <c r="E79" s="7"/>
      <c r="F79" s="7"/>
      <c r="G79" s="7"/>
      <c r="H79" s="7"/>
      <c r="I79" s="7"/>
      <c r="J79" s="7"/>
      <c r="K79" s="9" t="str">
        <f>IF(J79="","",IFERROR(INDEX(Products!$B$5:$B$89,MATCH(J79,Products!$A$5:$A$89,0)),"Check ID"))</f>
        <v/>
      </c>
      <c r="L79" s="7"/>
      <c r="M79" s="10" t="str">
        <f>IF(J79="","",IFERROR(INDEX(Products!$E$5:$E$89,MATCH(J79,Products!$A$5:$A$89,0)),0))</f>
        <v/>
      </c>
      <c r="N79" s="11" t="str">
        <f>IF(L79="","",IFERROR(VLOOKUP(L79,'Discount Slabs'!$A$5:$B$9,2,TRUE()),0))</f>
        <v/>
      </c>
      <c r="O79" s="12"/>
      <c r="P79" s="10" t="str">
        <f t="shared" si="6"/>
        <v/>
      </c>
      <c r="Q79" s="10" t="str">
        <f t="shared" si="7"/>
        <v/>
      </c>
      <c r="R79" s="13"/>
      <c r="S79" s="10" t="str">
        <f t="shared" si="8"/>
        <v/>
      </c>
      <c r="T79" s="8"/>
      <c r="U79" s="7"/>
      <c r="V79" s="13"/>
      <c r="W79" s="9" t="str">
        <f t="shared" si="9"/>
        <v/>
      </c>
      <c r="X79" s="10" t="str">
        <f t="shared" si="10"/>
        <v/>
      </c>
      <c r="Y79" s="8"/>
      <c r="Z79" s="7"/>
      <c r="AA79" s="7"/>
      <c r="AB79" s="7"/>
      <c r="AC79" t="str">
        <f t="shared" si="11"/>
        <v/>
      </c>
    </row>
    <row r="80" spans="1:29" x14ac:dyDescent="0.3">
      <c r="A80" s="7"/>
      <c r="B80" s="8"/>
      <c r="C80" s="7"/>
      <c r="D80" s="7"/>
      <c r="E80" s="7"/>
      <c r="F80" s="7"/>
      <c r="G80" s="7"/>
      <c r="H80" s="7"/>
      <c r="I80" s="7"/>
      <c r="J80" s="7"/>
      <c r="K80" s="9" t="str">
        <f>IF(J80="","",IFERROR(INDEX(Products!$B$5:$B$89,MATCH(J80,Products!$A$5:$A$89,0)),"Check ID"))</f>
        <v/>
      </c>
      <c r="L80" s="7"/>
      <c r="M80" s="10" t="str">
        <f>IF(J80="","",IFERROR(INDEX(Products!$E$5:$E$89,MATCH(J80,Products!$A$5:$A$89,0)),0))</f>
        <v/>
      </c>
      <c r="N80" s="11" t="str">
        <f>IF(L80="","",IFERROR(VLOOKUP(L80,'Discount Slabs'!$A$5:$B$9,2,TRUE()),0))</f>
        <v/>
      </c>
      <c r="O80" s="12"/>
      <c r="P80" s="10" t="str">
        <f t="shared" si="6"/>
        <v/>
      </c>
      <c r="Q80" s="10" t="str">
        <f t="shared" si="7"/>
        <v/>
      </c>
      <c r="R80" s="13"/>
      <c r="S80" s="10" t="str">
        <f t="shared" si="8"/>
        <v/>
      </c>
      <c r="T80" s="8"/>
      <c r="U80" s="7"/>
      <c r="V80" s="13"/>
      <c r="W80" s="9" t="str">
        <f t="shared" si="9"/>
        <v/>
      </c>
      <c r="X80" s="10" t="str">
        <f t="shared" si="10"/>
        <v/>
      </c>
      <c r="Y80" s="8"/>
      <c r="Z80" s="7"/>
      <c r="AA80" s="7"/>
      <c r="AB80" s="7"/>
      <c r="AC80" t="str">
        <f t="shared" si="11"/>
        <v/>
      </c>
    </row>
    <row r="81" spans="1:29" x14ac:dyDescent="0.3">
      <c r="A81" s="7"/>
      <c r="B81" s="8"/>
      <c r="C81" s="7"/>
      <c r="D81" s="7"/>
      <c r="E81" s="7"/>
      <c r="F81" s="7"/>
      <c r="G81" s="7"/>
      <c r="H81" s="7"/>
      <c r="I81" s="7"/>
      <c r="J81" s="7"/>
      <c r="K81" s="9" t="str">
        <f>IF(J81="","",IFERROR(INDEX(Products!$B$5:$B$89,MATCH(J81,Products!$A$5:$A$89,0)),"Check ID"))</f>
        <v/>
      </c>
      <c r="L81" s="7"/>
      <c r="M81" s="10" t="str">
        <f>IF(J81="","",IFERROR(INDEX(Products!$E$5:$E$89,MATCH(J81,Products!$A$5:$A$89,0)),0))</f>
        <v/>
      </c>
      <c r="N81" s="11" t="str">
        <f>IF(L81="","",IFERROR(VLOOKUP(L81,'Discount Slabs'!$A$5:$B$9,2,TRUE()),0))</f>
        <v/>
      </c>
      <c r="O81" s="12"/>
      <c r="P81" s="10" t="str">
        <f t="shared" si="6"/>
        <v/>
      </c>
      <c r="Q81" s="10" t="str">
        <f t="shared" si="7"/>
        <v/>
      </c>
      <c r="R81" s="13"/>
      <c r="S81" s="10" t="str">
        <f t="shared" si="8"/>
        <v/>
      </c>
      <c r="T81" s="8"/>
      <c r="U81" s="7"/>
      <c r="V81" s="13"/>
      <c r="W81" s="9" t="str">
        <f t="shared" si="9"/>
        <v/>
      </c>
      <c r="X81" s="10" t="str">
        <f t="shared" si="10"/>
        <v/>
      </c>
      <c r="Y81" s="8"/>
      <c r="Z81" s="7"/>
      <c r="AA81" s="7"/>
      <c r="AB81" s="7"/>
      <c r="AC81" t="str">
        <f t="shared" si="11"/>
        <v/>
      </c>
    </row>
    <row r="82" spans="1:29" x14ac:dyDescent="0.3">
      <c r="A82" s="7"/>
      <c r="B82" s="8"/>
      <c r="C82" s="7"/>
      <c r="D82" s="7"/>
      <c r="E82" s="7"/>
      <c r="F82" s="7"/>
      <c r="G82" s="7"/>
      <c r="H82" s="7"/>
      <c r="I82" s="7"/>
      <c r="J82" s="7"/>
      <c r="K82" s="9" t="str">
        <f>IF(J82="","",IFERROR(INDEX(Products!$B$5:$B$89,MATCH(J82,Products!$A$5:$A$89,0)),"Check ID"))</f>
        <v/>
      </c>
      <c r="L82" s="7"/>
      <c r="M82" s="10" t="str">
        <f>IF(J82="","",IFERROR(INDEX(Products!$E$5:$E$89,MATCH(J82,Products!$A$5:$A$89,0)),0))</f>
        <v/>
      </c>
      <c r="N82" s="11" t="str">
        <f>IF(L82="","",IFERROR(VLOOKUP(L82,'Discount Slabs'!$A$5:$B$9,2,TRUE()),0))</f>
        <v/>
      </c>
      <c r="O82" s="12"/>
      <c r="P82" s="10" t="str">
        <f t="shared" si="6"/>
        <v/>
      </c>
      <c r="Q82" s="10" t="str">
        <f t="shared" si="7"/>
        <v/>
      </c>
      <c r="R82" s="13"/>
      <c r="S82" s="10" t="str">
        <f t="shared" si="8"/>
        <v/>
      </c>
      <c r="T82" s="8"/>
      <c r="U82" s="7"/>
      <c r="V82" s="13"/>
      <c r="W82" s="9" t="str">
        <f t="shared" si="9"/>
        <v/>
      </c>
      <c r="X82" s="10" t="str">
        <f t="shared" si="10"/>
        <v/>
      </c>
      <c r="Y82" s="8"/>
      <c r="Z82" s="7"/>
      <c r="AA82" s="7"/>
      <c r="AB82" s="7"/>
      <c r="AC82" t="str">
        <f t="shared" si="11"/>
        <v/>
      </c>
    </row>
    <row r="83" spans="1:29" x14ac:dyDescent="0.3">
      <c r="A83" s="7"/>
      <c r="B83" s="8"/>
      <c r="C83" s="7"/>
      <c r="D83" s="7"/>
      <c r="E83" s="7"/>
      <c r="F83" s="7"/>
      <c r="G83" s="7"/>
      <c r="H83" s="7"/>
      <c r="I83" s="7"/>
      <c r="J83" s="7"/>
      <c r="K83" s="9" t="str">
        <f>IF(J83="","",IFERROR(INDEX(Products!$B$5:$B$89,MATCH(J83,Products!$A$5:$A$89,0)),"Check ID"))</f>
        <v/>
      </c>
      <c r="L83" s="7"/>
      <c r="M83" s="10" t="str">
        <f>IF(J83="","",IFERROR(INDEX(Products!$E$5:$E$89,MATCH(J83,Products!$A$5:$A$89,0)),0))</f>
        <v/>
      </c>
      <c r="N83" s="11" t="str">
        <f>IF(L83="","",IFERROR(VLOOKUP(L83,'Discount Slabs'!$A$5:$B$9,2,TRUE()),0))</f>
        <v/>
      </c>
      <c r="O83" s="12"/>
      <c r="P83" s="10" t="str">
        <f t="shared" si="6"/>
        <v/>
      </c>
      <c r="Q83" s="10" t="str">
        <f t="shared" si="7"/>
        <v/>
      </c>
      <c r="R83" s="13"/>
      <c r="S83" s="10" t="str">
        <f t="shared" si="8"/>
        <v/>
      </c>
      <c r="T83" s="8"/>
      <c r="U83" s="7"/>
      <c r="V83" s="13"/>
      <c r="W83" s="9" t="str">
        <f t="shared" si="9"/>
        <v/>
      </c>
      <c r="X83" s="10" t="str">
        <f t="shared" si="10"/>
        <v/>
      </c>
      <c r="Y83" s="8"/>
      <c r="Z83" s="7"/>
      <c r="AA83" s="7"/>
      <c r="AB83" s="7"/>
      <c r="AC83" t="str">
        <f t="shared" si="11"/>
        <v/>
      </c>
    </row>
    <row r="84" spans="1:29" x14ac:dyDescent="0.3">
      <c r="A84" s="7"/>
      <c r="B84" s="8"/>
      <c r="C84" s="7"/>
      <c r="D84" s="7"/>
      <c r="E84" s="7"/>
      <c r="F84" s="7"/>
      <c r="G84" s="7"/>
      <c r="H84" s="7"/>
      <c r="I84" s="7"/>
      <c r="J84" s="7"/>
      <c r="K84" s="9" t="str">
        <f>IF(J84="","",IFERROR(INDEX(Products!$B$5:$B$89,MATCH(J84,Products!$A$5:$A$89,0)),"Check ID"))</f>
        <v/>
      </c>
      <c r="L84" s="7"/>
      <c r="M84" s="10" t="str">
        <f>IF(J84="","",IFERROR(INDEX(Products!$E$5:$E$89,MATCH(J84,Products!$A$5:$A$89,0)),0))</f>
        <v/>
      </c>
      <c r="N84" s="11" t="str">
        <f>IF(L84="","",IFERROR(VLOOKUP(L84,'Discount Slabs'!$A$5:$B$9,2,TRUE()),0))</f>
        <v/>
      </c>
      <c r="O84" s="12"/>
      <c r="P84" s="10" t="str">
        <f t="shared" si="6"/>
        <v/>
      </c>
      <c r="Q84" s="10" t="str">
        <f t="shared" si="7"/>
        <v/>
      </c>
      <c r="R84" s="13"/>
      <c r="S84" s="10" t="str">
        <f t="shared" si="8"/>
        <v/>
      </c>
      <c r="T84" s="8"/>
      <c r="U84" s="7"/>
      <c r="V84" s="13"/>
      <c r="W84" s="9" t="str">
        <f t="shared" si="9"/>
        <v/>
      </c>
      <c r="X84" s="10" t="str">
        <f t="shared" si="10"/>
        <v/>
      </c>
      <c r="Y84" s="8"/>
      <c r="Z84" s="7"/>
      <c r="AA84" s="7"/>
      <c r="AB84" s="7"/>
      <c r="AC84" t="str">
        <f t="shared" si="11"/>
        <v/>
      </c>
    </row>
    <row r="85" spans="1:29" x14ac:dyDescent="0.3">
      <c r="A85" s="7"/>
      <c r="B85" s="8"/>
      <c r="C85" s="7"/>
      <c r="D85" s="7"/>
      <c r="E85" s="7"/>
      <c r="F85" s="7"/>
      <c r="G85" s="7"/>
      <c r="H85" s="7"/>
      <c r="I85" s="7"/>
      <c r="J85" s="7"/>
      <c r="K85" s="9" t="str">
        <f>IF(J85="","",IFERROR(INDEX(Products!$B$5:$B$89,MATCH(J85,Products!$A$5:$A$89,0)),"Check ID"))</f>
        <v/>
      </c>
      <c r="L85" s="7"/>
      <c r="M85" s="10" t="str">
        <f>IF(J85="","",IFERROR(INDEX(Products!$E$5:$E$89,MATCH(J85,Products!$A$5:$A$89,0)),0))</f>
        <v/>
      </c>
      <c r="N85" s="11" t="str">
        <f>IF(L85="","",IFERROR(VLOOKUP(L85,'Discount Slabs'!$A$5:$B$9,2,TRUE()),0))</f>
        <v/>
      </c>
      <c r="O85" s="12"/>
      <c r="P85" s="10" t="str">
        <f t="shared" si="6"/>
        <v/>
      </c>
      <c r="Q85" s="10" t="str">
        <f t="shared" si="7"/>
        <v/>
      </c>
      <c r="R85" s="13"/>
      <c r="S85" s="10" t="str">
        <f t="shared" si="8"/>
        <v/>
      </c>
      <c r="T85" s="8"/>
      <c r="U85" s="7"/>
      <c r="V85" s="13"/>
      <c r="W85" s="9" t="str">
        <f t="shared" si="9"/>
        <v/>
      </c>
      <c r="X85" s="10" t="str">
        <f t="shared" si="10"/>
        <v/>
      </c>
      <c r="Y85" s="8"/>
      <c r="Z85" s="7"/>
      <c r="AA85" s="7"/>
      <c r="AB85" s="7"/>
      <c r="AC85" t="str">
        <f t="shared" si="11"/>
        <v/>
      </c>
    </row>
    <row r="86" spans="1:29" x14ac:dyDescent="0.3">
      <c r="A86" s="7"/>
      <c r="B86" s="8"/>
      <c r="C86" s="7"/>
      <c r="D86" s="7"/>
      <c r="E86" s="7"/>
      <c r="F86" s="7"/>
      <c r="G86" s="7"/>
      <c r="H86" s="7"/>
      <c r="I86" s="7"/>
      <c r="J86" s="7"/>
      <c r="K86" s="9" t="str">
        <f>IF(J86="","",IFERROR(INDEX(Products!$B$5:$B$89,MATCH(J86,Products!$A$5:$A$89,0)),"Check ID"))</f>
        <v/>
      </c>
      <c r="L86" s="7"/>
      <c r="M86" s="10" t="str">
        <f>IF(J86="","",IFERROR(INDEX(Products!$E$5:$E$89,MATCH(J86,Products!$A$5:$A$89,0)),0))</f>
        <v/>
      </c>
      <c r="N86" s="11" t="str">
        <f>IF(L86="","",IFERROR(VLOOKUP(L86,'Discount Slabs'!$A$5:$B$9,2,TRUE()),0))</f>
        <v/>
      </c>
      <c r="O86" s="12"/>
      <c r="P86" s="10" t="str">
        <f t="shared" si="6"/>
        <v/>
      </c>
      <c r="Q86" s="10" t="str">
        <f t="shared" si="7"/>
        <v/>
      </c>
      <c r="R86" s="13"/>
      <c r="S86" s="10" t="str">
        <f t="shared" si="8"/>
        <v/>
      </c>
      <c r="T86" s="8"/>
      <c r="U86" s="7"/>
      <c r="V86" s="13"/>
      <c r="W86" s="9" t="str">
        <f t="shared" si="9"/>
        <v/>
      </c>
      <c r="X86" s="10" t="str">
        <f t="shared" si="10"/>
        <v/>
      </c>
      <c r="Y86" s="8"/>
      <c r="Z86" s="7"/>
      <c r="AA86" s="7"/>
      <c r="AB86" s="7"/>
      <c r="AC86" t="str">
        <f t="shared" si="11"/>
        <v/>
      </c>
    </row>
    <row r="87" spans="1:29" x14ac:dyDescent="0.3">
      <c r="A87" s="7"/>
      <c r="B87" s="8"/>
      <c r="C87" s="7"/>
      <c r="D87" s="7"/>
      <c r="E87" s="7"/>
      <c r="F87" s="7"/>
      <c r="G87" s="7"/>
      <c r="H87" s="7"/>
      <c r="I87" s="7"/>
      <c r="J87" s="7"/>
      <c r="K87" s="9" t="str">
        <f>IF(J87="","",IFERROR(INDEX(Products!$B$5:$B$89,MATCH(J87,Products!$A$5:$A$89,0)),"Check ID"))</f>
        <v/>
      </c>
      <c r="L87" s="7"/>
      <c r="M87" s="10" t="str">
        <f>IF(J87="","",IFERROR(INDEX(Products!$E$5:$E$89,MATCH(J87,Products!$A$5:$A$89,0)),0))</f>
        <v/>
      </c>
      <c r="N87" s="11" t="str">
        <f>IF(L87="","",IFERROR(VLOOKUP(L87,'Discount Slabs'!$A$5:$B$9,2,TRUE()),0))</f>
        <v/>
      </c>
      <c r="O87" s="12"/>
      <c r="P87" s="10" t="str">
        <f t="shared" si="6"/>
        <v/>
      </c>
      <c r="Q87" s="10" t="str">
        <f t="shared" si="7"/>
        <v/>
      </c>
      <c r="R87" s="13"/>
      <c r="S87" s="10" t="str">
        <f t="shared" si="8"/>
        <v/>
      </c>
      <c r="T87" s="8"/>
      <c r="U87" s="7"/>
      <c r="V87" s="13"/>
      <c r="W87" s="9" t="str">
        <f t="shared" si="9"/>
        <v/>
      </c>
      <c r="X87" s="10" t="str">
        <f t="shared" si="10"/>
        <v/>
      </c>
      <c r="Y87" s="8"/>
      <c r="Z87" s="7"/>
      <c r="AA87" s="7"/>
      <c r="AB87" s="7"/>
      <c r="AC87" t="str">
        <f t="shared" si="11"/>
        <v/>
      </c>
    </row>
    <row r="88" spans="1:29" x14ac:dyDescent="0.3">
      <c r="A88" s="7"/>
      <c r="B88" s="8"/>
      <c r="C88" s="7"/>
      <c r="D88" s="7"/>
      <c r="E88" s="7"/>
      <c r="F88" s="7"/>
      <c r="G88" s="7"/>
      <c r="H88" s="7"/>
      <c r="I88" s="7"/>
      <c r="J88" s="7"/>
      <c r="K88" s="9" t="str">
        <f>IF(J88="","",IFERROR(INDEX(Products!$B$5:$B$89,MATCH(J88,Products!$A$5:$A$89,0)),"Check ID"))</f>
        <v/>
      </c>
      <c r="L88" s="7"/>
      <c r="M88" s="10" t="str">
        <f>IF(J88="","",IFERROR(INDEX(Products!$E$5:$E$89,MATCH(J88,Products!$A$5:$A$89,0)),0))</f>
        <v/>
      </c>
      <c r="N88" s="11" t="str">
        <f>IF(L88="","",IFERROR(VLOOKUP(L88,'Discount Slabs'!$A$5:$B$9,2,TRUE()),0))</f>
        <v/>
      </c>
      <c r="O88" s="12"/>
      <c r="P88" s="10" t="str">
        <f t="shared" si="6"/>
        <v/>
      </c>
      <c r="Q88" s="10" t="str">
        <f t="shared" si="7"/>
        <v/>
      </c>
      <c r="R88" s="13"/>
      <c r="S88" s="10" t="str">
        <f t="shared" si="8"/>
        <v/>
      </c>
      <c r="T88" s="8"/>
      <c r="U88" s="7"/>
      <c r="V88" s="13"/>
      <c r="W88" s="9" t="str">
        <f t="shared" si="9"/>
        <v/>
      </c>
      <c r="X88" s="10" t="str">
        <f t="shared" si="10"/>
        <v/>
      </c>
      <c r="Y88" s="8"/>
      <c r="Z88" s="7"/>
      <c r="AA88" s="7"/>
      <c r="AB88" s="7"/>
      <c r="AC88" t="str">
        <f t="shared" si="11"/>
        <v/>
      </c>
    </row>
    <row r="89" spans="1:29" x14ac:dyDescent="0.3">
      <c r="A89" s="7"/>
      <c r="B89" s="8"/>
      <c r="C89" s="7"/>
      <c r="D89" s="7"/>
      <c r="E89" s="7"/>
      <c r="F89" s="7"/>
      <c r="G89" s="7"/>
      <c r="H89" s="7"/>
      <c r="I89" s="7"/>
      <c r="J89" s="7"/>
      <c r="K89" s="9" t="str">
        <f>IF(J89="","",IFERROR(INDEX(Products!$B$5:$B$89,MATCH(J89,Products!$A$5:$A$89,0)),"Check ID"))</f>
        <v/>
      </c>
      <c r="L89" s="7"/>
      <c r="M89" s="10" t="str">
        <f>IF(J89="","",IFERROR(INDEX(Products!$E$5:$E$89,MATCH(J89,Products!$A$5:$A$89,0)),0))</f>
        <v/>
      </c>
      <c r="N89" s="11" t="str">
        <f>IF(L89="","",IFERROR(VLOOKUP(L89,'Discount Slabs'!$A$5:$B$9,2,TRUE()),0))</f>
        <v/>
      </c>
      <c r="O89" s="12"/>
      <c r="P89" s="10" t="str">
        <f t="shared" si="6"/>
        <v/>
      </c>
      <c r="Q89" s="10" t="str">
        <f t="shared" si="7"/>
        <v/>
      </c>
      <c r="R89" s="13"/>
      <c r="S89" s="10" t="str">
        <f t="shared" si="8"/>
        <v/>
      </c>
      <c r="T89" s="8"/>
      <c r="U89" s="7"/>
      <c r="V89" s="13"/>
      <c r="W89" s="9" t="str">
        <f t="shared" si="9"/>
        <v/>
      </c>
      <c r="X89" s="10" t="str">
        <f t="shared" si="10"/>
        <v/>
      </c>
      <c r="Y89" s="8"/>
      <c r="Z89" s="7"/>
      <c r="AA89" s="7"/>
      <c r="AB89" s="7"/>
      <c r="AC89" t="str">
        <f t="shared" si="11"/>
        <v/>
      </c>
    </row>
    <row r="90" spans="1:29" x14ac:dyDescent="0.3">
      <c r="A90" s="7"/>
      <c r="B90" s="8"/>
      <c r="C90" s="7"/>
      <c r="D90" s="7"/>
      <c r="E90" s="7"/>
      <c r="F90" s="7"/>
      <c r="G90" s="7"/>
      <c r="H90" s="7"/>
      <c r="I90" s="7"/>
      <c r="J90" s="7"/>
      <c r="K90" s="9" t="str">
        <f>IF(J90="","",IFERROR(INDEX(Products!$B$5:$B$89,MATCH(J90,Products!$A$5:$A$89,0)),"Check ID"))</f>
        <v/>
      </c>
      <c r="L90" s="7"/>
      <c r="M90" s="10" t="str">
        <f>IF(J90="","",IFERROR(INDEX(Products!$E$5:$E$89,MATCH(J90,Products!$A$5:$A$89,0)),0))</f>
        <v/>
      </c>
      <c r="N90" s="11" t="str">
        <f>IF(L90="","",IFERROR(VLOOKUP(L90,'Discount Slabs'!$A$5:$B$9,2,TRUE()),0))</f>
        <v/>
      </c>
      <c r="O90" s="12"/>
      <c r="P90" s="10" t="str">
        <f t="shared" si="6"/>
        <v/>
      </c>
      <c r="Q90" s="10" t="str">
        <f t="shared" si="7"/>
        <v/>
      </c>
      <c r="R90" s="13"/>
      <c r="S90" s="10" t="str">
        <f t="shared" si="8"/>
        <v/>
      </c>
      <c r="T90" s="8"/>
      <c r="U90" s="7"/>
      <c r="V90" s="13"/>
      <c r="W90" s="9" t="str">
        <f t="shared" si="9"/>
        <v/>
      </c>
      <c r="X90" s="10" t="str">
        <f t="shared" si="10"/>
        <v/>
      </c>
      <c r="Y90" s="8"/>
      <c r="Z90" s="7"/>
      <c r="AA90" s="7"/>
      <c r="AB90" s="7"/>
      <c r="AC90" t="str">
        <f t="shared" si="11"/>
        <v/>
      </c>
    </row>
    <row r="91" spans="1:29" x14ac:dyDescent="0.3">
      <c r="A91" s="7"/>
      <c r="B91" s="8"/>
      <c r="C91" s="7"/>
      <c r="D91" s="7"/>
      <c r="E91" s="7"/>
      <c r="F91" s="7"/>
      <c r="G91" s="7"/>
      <c r="H91" s="7"/>
      <c r="I91" s="7"/>
      <c r="J91" s="7"/>
      <c r="K91" s="9" t="str">
        <f>IF(J91="","",IFERROR(INDEX(Products!$B$5:$B$89,MATCH(J91,Products!$A$5:$A$89,0)),"Check ID"))</f>
        <v/>
      </c>
      <c r="L91" s="7"/>
      <c r="M91" s="10" t="str">
        <f>IF(J91="","",IFERROR(INDEX(Products!$E$5:$E$89,MATCH(J91,Products!$A$5:$A$89,0)),0))</f>
        <v/>
      </c>
      <c r="N91" s="11" t="str">
        <f>IF(L91="","",IFERROR(VLOOKUP(L91,'Discount Slabs'!$A$5:$B$9,2,TRUE()),0))</f>
        <v/>
      </c>
      <c r="O91" s="12"/>
      <c r="P91" s="10" t="str">
        <f t="shared" si="6"/>
        <v/>
      </c>
      <c r="Q91" s="10" t="str">
        <f t="shared" si="7"/>
        <v/>
      </c>
      <c r="R91" s="13"/>
      <c r="S91" s="10" t="str">
        <f t="shared" si="8"/>
        <v/>
      </c>
      <c r="T91" s="8"/>
      <c r="U91" s="7"/>
      <c r="V91" s="13"/>
      <c r="W91" s="9" t="str">
        <f t="shared" si="9"/>
        <v/>
      </c>
      <c r="X91" s="10" t="str">
        <f t="shared" si="10"/>
        <v/>
      </c>
      <c r="Y91" s="8"/>
      <c r="Z91" s="7"/>
      <c r="AA91" s="7"/>
      <c r="AB91" s="7"/>
      <c r="AC91" t="str">
        <f t="shared" si="11"/>
        <v/>
      </c>
    </row>
    <row r="92" spans="1:29" x14ac:dyDescent="0.3">
      <c r="A92" s="7"/>
      <c r="B92" s="8"/>
      <c r="C92" s="7"/>
      <c r="D92" s="7"/>
      <c r="E92" s="7"/>
      <c r="F92" s="7"/>
      <c r="G92" s="7"/>
      <c r="H92" s="7"/>
      <c r="I92" s="7"/>
      <c r="J92" s="7"/>
      <c r="K92" s="9" t="str">
        <f>IF(J92="","",IFERROR(INDEX(Products!$B$5:$B$89,MATCH(J92,Products!$A$5:$A$89,0)),"Check ID"))</f>
        <v/>
      </c>
      <c r="L92" s="7"/>
      <c r="M92" s="10" t="str">
        <f>IF(J92="","",IFERROR(INDEX(Products!$E$5:$E$89,MATCH(J92,Products!$A$5:$A$89,0)),0))</f>
        <v/>
      </c>
      <c r="N92" s="11" t="str">
        <f>IF(L92="","",IFERROR(VLOOKUP(L92,'Discount Slabs'!$A$5:$B$9,2,TRUE()),0))</f>
        <v/>
      </c>
      <c r="O92" s="12"/>
      <c r="P92" s="10" t="str">
        <f t="shared" si="6"/>
        <v/>
      </c>
      <c r="Q92" s="10" t="str">
        <f t="shared" si="7"/>
        <v/>
      </c>
      <c r="R92" s="13"/>
      <c r="S92" s="10" t="str">
        <f t="shared" si="8"/>
        <v/>
      </c>
      <c r="T92" s="8"/>
      <c r="U92" s="7"/>
      <c r="V92" s="13"/>
      <c r="W92" s="9" t="str">
        <f t="shared" si="9"/>
        <v/>
      </c>
      <c r="X92" s="10" t="str">
        <f t="shared" si="10"/>
        <v/>
      </c>
      <c r="Y92" s="8"/>
      <c r="Z92" s="7"/>
      <c r="AA92" s="7"/>
      <c r="AB92" s="7"/>
      <c r="AC92" t="str">
        <f t="shared" si="11"/>
        <v/>
      </c>
    </row>
    <row r="93" spans="1:29" x14ac:dyDescent="0.3">
      <c r="A93" s="7"/>
      <c r="B93" s="8"/>
      <c r="C93" s="7"/>
      <c r="D93" s="7"/>
      <c r="E93" s="7"/>
      <c r="F93" s="7"/>
      <c r="G93" s="7"/>
      <c r="H93" s="7"/>
      <c r="I93" s="7"/>
      <c r="J93" s="7"/>
      <c r="K93" s="9" t="str">
        <f>IF(J93="","",IFERROR(INDEX(Products!$B$5:$B$89,MATCH(J93,Products!$A$5:$A$89,0)),"Check ID"))</f>
        <v/>
      </c>
      <c r="L93" s="7"/>
      <c r="M93" s="10" t="str">
        <f>IF(J93="","",IFERROR(INDEX(Products!$E$5:$E$89,MATCH(J93,Products!$A$5:$A$89,0)),0))</f>
        <v/>
      </c>
      <c r="N93" s="11" t="str">
        <f>IF(L93="","",IFERROR(VLOOKUP(L93,'Discount Slabs'!$A$5:$B$9,2,TRUE()),0))</f>
        <v/>
      </c>
      <c r="O93" s="12"/>
      <c r="P93" s="10" t="str">
        <f t="shared" si="6"/>
        <v/>
      </c>
      <c r="Q93" s="10" t="str">
        <f t="shared" si="7"/>
        <v/>
      </c>
      <c r="R93" s="13"/>
      <c r="S93" s="10" t="str">
        <f t="shared" si="8"/>
        <v/>
      </c>
      <c r="T93" s="8"/>
      <c r="U93" s="7"/>
      <c r="V93" s="13"/>
      <c r="W93" s="9" t="str">
        <f t="shared" si="9"/>
        <v/>
      </c>
      <c r="X93" s="10" t="str">
        <f t="shared" si="10"/>
        <v/>
      </c>
      <c r="Y93" s="8"/>
      <c r="Z93" s="7"/>
      <c r="AA93" s="7"/>
      <c r="AB93" s="7"/>
      <c r="AC93" t="str">
        <f t="shared" si="11"/>
        <v/>
      </c>
    </row>
    <row r="94" spans="1:29" x14ac:dyDescent="0.3">
      <c r="A94" s="7"/>
      <c r="B94" s="8"/>
      <c r="C94" s="7"/>
      <c r="D94" s="7"/>
      <c r="E94" s="7"/>
      <c r="F94" s="7"/>
      <c r="G94" s="7"/>
      <c r="H94" s="7"/>
      <c r="I94" s="7"/>
      <c r="J94" s="7"/>
      <c r="K94" s="9" t="str">
        <f>IF(J94="","",IFERROR(INDEX(Products!$B$5:$B$89,MATCH(J94,Products!$A$5:$A$89,0)),"Check ID"))</f>
        <v/>
      </c>
      <c r="L94" s="7"/>
      <c r="M94" s="10" t="str">
        <f>IF(J94="","",IFERROR(INDEX(Products!$E$5:$E$89,MATCH(J94,Products!$A$5:$A$89,0)),0))</f>
        <v/>
      </c>
      <c r="N94" s="11" t="str">
        <f>IF(L94="","",IFERROR(VLOOKUP(L94,'Discount Slabs'!$A$5:$B$9,2,TRUE()),0))</f>
        <v/>
      </c>
      <c r="O94" s="12"/>
      <c r="P94" s="10" t="str">
        <f t="shared" si="6"/>
        <v/>
      </c>
      <c r="Q94" s="10" t="str">
        <f t="shared" si="7"/>
        <v/>
      </c>
      <c r="R94" s="13"/>
      <c r="S94" s="10" t="str">
        <f t="shared" si="8"/>
        <v/>
      </c>
      <c r="T94" s="8"/>
      <c r="U94" s="7"/>
      <c r="V94" s="13"/>
      <c r="W94" s="9" t="str">
        <f t="shared" si="9"/>
        <v/>
      </c>
      <c r="X94" s="10" t="str">
        <f t="shared" si="10"/>
        <v/>
      </c>
      <c r="Y94" s="8"/>
      <c r="Z94" s="7"/>
      <c r="AA94" s="7"/>
      <c r="AB94" s="7"/>
      <c r="AC94" t="str">
        <f t="shared" si="11"/>
        <v/>
      </c>
    </row>
    <row r="95" spans="1:29" x14ac:dyDescent="0.3">
      <c r="A95" s="7"/>
      <c r="B95" s="8"/>
      <c r="C95" s="7"/>
      <c r="D95" s="7"/>
      <c r="E95" s="7"/>
      <c r="F95" s="7"/>
      <c r="G95" s="7"/>
      <c r="H95" s="7"/>
      <c r="I95" s="7"/>
      <c r="J95" s="7"/>
      <c r="K95" s="9" t="str">
        <f>IF(J95="","",IFERROR(INDEX(Products!$B$5:$B$89,MATCH(J95,Products!$A$5:$A$89,0)),"Check ID"))</f>
        <v/>
      </c>
      <c r="L95" s="7"/>
      <c r="M95" s="10" t="str">
        <f>IF(J95="","",IFERROR(INDEX(Products!$E$5:$E$89,MATCH(J95,Products!$A$5:$A$89,0)),0))</f>
        <v/>
      </c>
      <c r="N95" s="11" t="str">
        <f>IF(L95="","",IFERROR(VLOOKUP(L95,'Discount Slabs'!$A$5:$B$9,2,TRUE()),0))</f>
        <v/>
      </c>
      <c r="O95" s="12"/>
      <c r="P95" s="10" t="str">
        <f t="shared" si="6"/>
        <v/>
      </c>
      <c r="Q95" s="10" t="str">
        <f t="shared" si="7"/>
        <v/>
      </c>
      <c r="R95" s="13"/>
      <c r="S95" s="10" t="str">
        <f t="shared" si="8"/>
        <v/>
      </c>
      <c r="T95" s="8"/>
      <c r="U95" s="7"/>
      <c r="V95" s="13"/>
      <c r="W95" s="9" t="str">
        <f t="shared" si="9"/>
        <v/>
      </c>
      <c r="X95" s="10" t="str">
        <f t="shared" si="10"/>
        <v/>
      </c>
      <c r="Y95" s="8"/>
      <c r="Z95" s="7"/>
      <c r="AA95" s="7"/>
      <c r="AB95" s="7"/>
      <c r="AC95" t="str">
        <f t="shared" si="11"/>
        <v/>
      </c>
    </row>
    <row r="96" spans="1:29" x14ac:dyDescent="0.3">
      <c r="A96" s="7"/>
      <c r="B96" s="8"/>
      <c r="C96" s="7"/>
      <c r="D96" s="7"/>
      <c r="E96" s="7"/>
      <c r="F96" s="7"/>
      <c r="G96" s="7"/>
      <c r="H96" s="7"/>
      <c r="I96" s="7"/>
      <c r="J96" s="7"/>
      <c r="K96" s="9" t="str">
        <f>IF(J96="","",IFERROR(INDEX(Products!$B$5:$B$89,MATCH(J96,Products!$A$5:$A$89,0)),"Check ID"))</f>
        <v/>
      </c>
      <c r="L96" s="7"/>
      <c r="M96" s="10" t="str">
        <f>IF(J96="","",IFERROR(INDEX(Products!$E$5:$E$89,MATCH(J96,Products!$A$5:$A$89,0)),0))</f>
        <v/>
      </c>
      <c r="N96" s="11" t="str">
        <f>IF(L96="","",IFERROR(VLOOKUP(L96,'Discount Slabs'!$A$5:$B$9,2,TRUE()),0))</f>
        <v/>
      </c>
      <c r="O96" s="12"/>
      <c r="P96" s="10" t="str">
        <f t="shared" si="6"/>
        <v/>
      </c>
      <c r="Q96" s="10" t="str">
        <f t="shared" si="7"/>
        <v/>
      </c>
      <c r="R96" s="13"/>
      <c r="S96" s="10" t="str">
        <f t="shared" si="8"/>
        <v/>
      </c>
      <c r="T96" s="8"/>
      <c r="U96" s="7"/>
      <c r="V96" s="13"/>
      <c r="W96" s="9" t="str">
        <f t="shared" si="9"/>
        <v/>
      </c>
      <c r="X96" s="10" t="str">
        <f t="shared" si="10"/>
        <v/>
      </c>
      <c r="Y96" s="8"/>
      <c r="Z96" s="7"/>
      <c r="AA96" s="7"/>
      <c r="AB96" s="7"/>
      <c r="AC96" t="str">
        <f t="shared" si="11"/>
        <v/>
      </c>
    </row>
    <row r="97" spans="1:29" x14ac:dyDescent="0.3">
      <c r="A97" s="7"/>
      <c r="B97" s="8"/>
      <c r="C97" s="7"/>
      <c r="D97" s="7"/>
      <c r="E97" s="7"/>
      <c r="F97" s="7"/>
      <c r="G97" s="7"/>
      <c r="H97" s="7"/>
      <c r="I97" s="7"/>
      <c r="J97" s="7"/>
      <c r="K97" s="9" t="str">
        <f>IF(J97="","",IFERROR(INDEX(Products!$B$5:$B$89,MATCH(J97,Products!$A$5:$A$89,0)),"Check ID"))</f>
        <v/>
      </c>
      <c r="L97" s="7"/>
      <c r="M97" s="10" t="str">
        <f>IF(J97="","",IFERROR(INDEX(Products!$E$5:$E$89,MATCH(J97,Products!$A$5:$A$89,0)),0))</f>
        <v/>
      </c>
      <c r="N97" s="11" t="str">
        <f>IF(L97="","",IFERROR(VLOOKUP(L97,'Discount Slabs'!$A$5:$B$9,2,TRUE()),0))</f>
        <v/>
      </c>
      <c r="O97" s="12"/>
      <c r="P97" s="10" t="str">
        <f t="shared" si="6"/>
        <v/>
      </c>
      <c r="Q97" s="10" t="str">
        <f t="shared" si="7"/>
        <v/>
      </c>
      <c r="R97" s="13"/>
      <c r="S97" s="10" t="str">
        <f t="shared" si="8"/>
        <v/>
      </c>
      <c r="T97" s="8"/>
      <c r="U97" s="7"/>
      <c r="V97" s="13"/>
      <c r="W97" s="9" t="str">
        <f t="shared" si="9"/>
        <v/>
      </c>
      <c r="X97" s="10" t="str">
        <f t="shared" si="10"/>
        <v/>
      </c>
      <c r="Y97" s="8"/>
      <c r="Z97" s="7"/>
      <c r="AA97" s="7"/>
      <c r="AB97" s="7"/>
      <c r="AC97" t="str">
        <f t="shared" si="11"/>
        <v/>
      </c>
    </row>
    <row r="98" spans="1:29" x14ac:dyDescent="0.3">
      <c r="A98" s="7"/>
      <c r="B98" s="8"/>
      <c r="C98" s="7"/>
      <c r="D98" s="7"/>
      <c r="E98" s="7"/>
      <c r="F98" s="7"/>
      <c r="G98" s="7"/>
      <c r="H98" s="7"/>
      <c r="I98" s="7"/>
      <c r="J98" s="7"/>
      <c r="K98" s="9" t="str">
        <f>IF(J98="","",IFERROR(INDEX(Products!$B$5:$B$89,MATCH(J98,Products!$A$5:$A$89,0)),"Check ID"))</f>
        <v/>
      </c>
      <c r="L98" s="7"/>
      <c r="M98" s="10" t="str">
        <f>IF(J98="","",IFERROR(INDEX(Products!$E$5:$E$89,MATCH(J98,Products!$A$5:$A$89,0)),0))</f>
        <v/>
      </c>
      <c r="N98" s="11" t="str">
        <f>IF(L98="","",IFERROR(VLOOKUP(L98,'Discount Slabs'!$A$5:$B$9,2,TRUE()),0))</f>
        <v/>
      </c>
      <c r="O98" s="12"/>
      <c r="P98" s="10" t="str">
        <f t="shared" si="6"/>
        <v/>
      </c>
      <c r="Q98" s="10" t="str">
        <f t="shared" si="7"/>
        <v/>
      </c>
      <c r="R98" s="13"/>
      <c r="S98" s="10" t="str">
        <f t="shared" si="8"/>
        <v/>
      </c>
      <c r="T98" s="8"/>
      <c r="U98" s="7"/>
      <c r="V98" s="13"/>
      <c r="W98" s="9" t="str">
        <f t="shared" si="9"/>
        <v/>
      </c>
      <c r="X98" s="10" t="str">
        <f t="shared" si="10"/>
        <v/>
      </c>
      <c r="Y98" s="8"/>
      <c r="Z98" s="7"/>
      <c r="AA98" s="7"/>
      <c r="AB98" s="7"/>
      <c r="AC98" t="str">
        <f t="shared" si="11"/>
        <v/>
      </c>
    </row>
    <row r="99" spans="1:29" x14ac:dyDescent="0.3">
      <c r="A99" s="7"/>
      <c r="B99" s="8"/>
      <c r="C99" s="7"/>
      <c r="D99" s="7"/>
      <c r="E99" s="7"/>
      <c r="F99" s="7"/>
      <c r="G99" s="7"/>
      <c r="H99" s="7"/>
      <c r="I99" s="7"/>
      <c r="J99" s="7"/>
      <c r="K99" s="9" t="str">
        <f>IF(J99="","",IFERROR(INDEX(Products!$B$5:$B$89,MATCH(J99,Products!$A$5:$A$89,0)),"Check ID"))</f>
        <v/>
      </c>
      <c r="L99" s="7"/>
      <c r="M99" s="10" t="str">
        <f>IF(J99="","",IFERROR(INDEX(Products!$E$5:$E$89,MATCH(J99,Products!$A$5:$A$89,0)),0))</f>
        <v/>
      </c>
      <c r="N99" s="11" t="str">
        <f>IF(L99="","",IFERROR(VLOOKUP(L99,'Discount Slabs'!$A$5:$B$9,2,TRUE()),0))</f>
        <v/>
      </c>
      <c r="O99" s="12"/>
      <c r="P99" s="10" t="str">
        <f t="shared" si="6"/>
        <v/>
      </c>
      <c r="Q99" s="10" t="str">
        <f t="shared" si="7"/>
        <v/>
      </c>
      <c r="R99" s="13"/>
      <c r="S99" s="10" t="str">
        <f t="shared" si="8"/>
        <v/>
      </c>
      <c r="T99" s="8"/>
      <c r="U99" s="7"/>
      <c r="V99" s="13"/>
      <c r="W99" s="9" t="str">
        <f t="shared" si="9"/>
        <v/>
      </c>
      <c r="X99" s="10" t="str">
        <f t="shared" si="10"/>
        <v/>
      </c>
      <c r="Y99" s="8"/>
      <c r="Z99" s="7"/>
      <c r="AA99" s="7"/>
      <c r="AB99" s="7"/>
      <c r="AC99" t="str">
        <f t="shared" si="11"/>
        <v/>
      </c>
    </row>
    <row r="100" spans="1:29" x14ac:dyDescent="0.3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9" t="str">
        <f>IF(J100="","",IFERROR(INDEX(Products!$B$5:$B$89,MATCH(J100,Products!$A$5:$A$89,0)),"Check ID"))</f>
        <v/>
      </c>
      <c r="L100" s="7"/>
      <c r="M100" s="10" t="str">
        <f>IF(J100="","",IFERROR(INDEX(Products!$E$5:$E$89,MATCH(J100,Products!$A$5:$A$89,0)),0))</f>
        <v/>
      </c>
      <c r="N100" s="11" t="str">
        <f>IF(L100="","",IFERROR(VLOOKUP(L100,'Discount Slabs'!$A$5:$B$9,2,TRUE()),0))</f>
        <v/>
      </c>
      <c r="O100" s="12"/>
      <c r="P100" s="10" t="str">
        <f t="shared" si="6"/>
        <v/>
      </c>
      <c r="Q100" s="10" t="str">
        <f t="shared" si="7"/>
        <v/>
      </c>
      <c r="R100" s="13"/>
      <c r="S100" s="10" t="str">
        <f t="shared" si="8"/>
        <v/>
      </c>
      <c r="T100" s="8"/>
      <c r="U100" s="7"/>
      <c r="V100" s="13"/>
      <c r="W100" s="9" t="str">
        <f t="shared" si="9"/>
        <v/>
      </c>
      <c r="X100" s="10" t="str">
        <f t="shared" si="10"/>
        <v/>
      </c>
      <c r="Y100" s="8"/>
      <c r="Z100" s="7"/>
      <c r="AA100" s="7"/>
      <c r="AB100" s="7"/>
      <c r="AC100" t="str">
        <f t="shared" si="11"/>
        <v/>
      </c>
    </row>
    <row r="101" spans="1:29" x14ac:dyDescent="0.3">
      <c r="A101" s="7"/>
      <c r="B101" s="8"/>
      <c r="C101" s="7"/>
      <c r="D101" s="7"/>
      <c r="E101" s="7"/>
      <c r="F101" s="7"/>
      <c r="G101" s="7"/>
      <c r="H101" s="7"/>
      <c r="I101" s="7"/>
      <c r="J101" s="7"/>
      <c r="K101" s="9" t="str">
        <f>IF(J101="","",IFERROR(INDEX(Products!$B$5:$B$89,MATCH(J101,Products!$A$5:$A$89,0)),"Check ID"))</f>
        <v/>
      </c>
      <c r="L101" s="7"/>
      <c r="M101" s="10" t="str">
        <f>IF(J101="","",IFERROR(INDEX(Products!$E$5:$E$89,MATCH(J101,Products!$A$5:$A$89,0)),0))</f>
        <v/>
      </c>
      <c r="N101" s="11" t="str">
        <f>IF(L101="","",IFERROR(VLOOKUP(L101,'Discount Slabs'!$A$5:$B$9,2,TRUE()),0))</f>
        <v/>
      </c>
      <c r="O101" s="12"/>
      <c r="P101" s="10" t="str">
        <f t="shared" si="6"/>
        <v/>
      </c>
      <c r="Q101" s="10" t="str">
        <f t="shared" si="7"/>
        <v/>
      </c>
      <c r="R101" s="13"/>
      <c r="S101" s="10" t="str">
        <f t="shared" si="8"/>
        <v/>
      </c>
      <c r="T101" s="8"/>
      <c r="U101" s="7"/>
      <c r="V101" s="13"/>
      <c r="W101" s="9" t="str">
        <f t="shared" si="9"/>
        <v/>
      </c>
      <c r="X101" s="10" t="str">
        <f t="shared" si="10"/>
        <v/>
      </c>
      <c r="Y101" s="8"/>
      <c r="Z101" s="7"/>
      <c r="AA101" s="7"/>
      <c r="AB101" s="7"/>
      <c r="AC101" t="str">
        <f t="shared" si="11"/>
        <v/>
      </c>
    </row>
    <row r="102" spans="1:29" x14ac:dyDescent="0.3">
      <c r="A102" s="7"/>
      <c r="B102" s="8"/>
      <c r="C102" s="7"/>
      <c r="D102" s="7"/>
      <c r="E102" s="7"/>
      <c r="F102" s="7"/>
      <c r="G102" s="7"/>
      <c r="H102" s="7"/>
      <c r="I102" s="7"/>
      <c r="J102" s="7"/>
      <c r="K102" s="9" t="str">
        <f>IF(J102="","",IFERROR(INDEX(Products!$B$5:$B$89,MATCH(J102,Products!$A$5:$A$89,0)),"Check ID"))</f>
        <v/>
      </c>
      <c r="L102" s="7"/>
      <c r="M102" s="10" t="str">
        <f>IF(J102="","",IFERROR(INDEX(Products!$E$5:$E$89,MATCH(J102,Products!$A$5:$A$89,0)),0))</f>
        <v/>
      </c>
      <c r="N102" s="11" t="str">
        <f>IF(L102="","",IFERROR(VLOOKUP(L102,'Discount Slabs'!$A$5:$B$9,2,TRUE()),0))</f>
        <v/>
      </c>
      <c r="O102" s="12"/>
      <c r="P102" s="10" t="str">
        <f t="shared" si="6"/>
        <v/>
      </c>
      <c r="Q102" s="10" t="str">
        <f t="shared" si="7"/>
        <v/>
      </c>
      <c r="R102" s="13"/>
      <c r="S102" s="10" t="str">
        <f t="shared" si="8"/>
        <v/>
      </c>
      <c r="T102" s="8"/>
      <c r="U102" s="7"/>
      <c r="V102" s="13"/>
      <c r="W102" s="9" t="str">
        <f t="shared" si="9"/>
        <v/>
      </c>
      <c r="X102" s="10" t="str">
        <f t="shared" si="10"/>
        <v/>
      </c>
      <c r="Y102" s="8"/>
      <c r="Z102" s="7"/>
      <c r="AA102" s="7"/>
      <c r="AB102" s="7"/>
      <c r="AC102" t="str">
        <f t="shared" si="11"/>
        <v/>
      </c>
    </row>
    <row r="103" spans="1:29" x14ac:dyDescent="0.3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9" t="str">
        <f>IF(J103="","",IFERROR(INDEX(Products!$B$5:$B$89,MATCH(J103,Products!$A$5:$A$89,0)),"Check ID"))</f>
        <v/>
      </c>
      <c r="L103" s="7"/>
      <c r="M103" s="10" t="str">
        <f>IF(J103="","",IFERROR(INDEX(Products!$E$5:$E$89,MATCH(J103,Products!$A$5:$A$89,0)),0))</f>
        <v/>
      </c>
      <c r="N103" s="11" t="str">
        <f>IF(L103="","",IFERROR(VLOOKUP(L103,'Discount Slabs'!$A$5:$B$9,2,TRUE()),0))</f>
        <v/>
      </c>
      <c r="O103" s="12"/>
      <c r="P103" s="10" t="str">
        <f t="shared" si="6"/>
        <v/>
      </c>
      <c r="Q103" s="10" t="str">
        <f t="shared" si="7"/>
        <v/>
      </c>
      <c r="R103" s="13"/>
      <c r="S103" s="10" t="str">
        <f t="shared" si="8"/>
        <v/>
      </c>
      <c r="T103" s="8"/>
      <c r="U103" s="7"/>
      <c r="V103" s="13"/>
      <c r="W103" s="9" t="str">
        <f t="shared" si="9"/>
        <v/>
      </c>
      <c r="X103" s="10" t="str">
        <f t="shared" si="10"/>
        <v/>
      </c>
      <c r="Y103" s="8"/>
      <c r="Z103" s="7"/>
      <c r="AA103" s="7"/>
      <c r="AB103" s="7"/>
      <c r="AC103" t="str">
        <f t="shared" si="11"/>
        <v/>
      </c>
    </row>
    <row r="104" spans="1:29" x14ac:dyDescent="0.3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9" t="str">
        <f>IF(J104="","",IFERROR(INDEX(Products!$B$5:$B$89,MATCH(J104,Products!$A$5:$A$89,0)),"Check ID"))</f>
        <v/>
      </c>
      <c r="L104" s="7"/>
      <c r="M104" s="10" t="str">
        <f>IF(J104="","",IFERROR(INDEX(Products!$E$5:$E$89,MATCH(J104,Products!$A$5:$A$89,0)),0))</f>
        <v/>
      </c>
      <c r="N104" s="11" t="str">
        <f>IF(L104="","",IFERROR(VLOOKUP(L104,'Discount Slabs'!$A$5:$B$9,2,TRUE()),0))</f>
        <v/>
      </c>
      <c r="O104" s="12"/>
      <c r="P104" s="10" t="str">
        <f t="shared" si="6"/>
        <v/>
      </c>
      <c r="Q104" s="10" t="str">
        <f t="shared" si="7"/>
        <v/>
      </c>
      <c r="R104" s="13"/>
      <c r="S104" s="10" t="str">
        <f t="shared" si="8"/>
        <v/>
      </c>
      <c r="T104" s="8"/>
      <c r="U104" s="7"/>
      <c r="V104" s="13"/>
      <c r="W104" s="9" t="str">
        <f t="shared" si="9"/>
        <v/>
      </c>
      <c r="X104" s="10" t="str">
        <f t="shared" si="10"/>
        <v/>
      </c>
      <c r="Y104" s="8"/>
      <c r="Z104" s="7"/>
      <c r="AA104" s="7"/>
      <c r="AB104" s="7"/>
      <c r="AC104" t="str">
        <f t="shared" si="11"/>
        <v/>
      </c>
    </row>
    <row r="105" spans="1:29" x14ac:dyDescent="0.3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9" t="str">
        <f>IF(J105="","",IFERROR(INDEX(Products!$B$5:$B$89,MATCH(J105,Products!$A$5:$A$89,0)),"Check ID"))</f>
        <v/>
      </c>
      <c r="L105" s="7"/>
      <c r="M105" s="10" t="str">
        <f>IF(J105="","",IFERROR(INDEX(Products!$E$5:$E$89,MATCH(J105,Products!$A$5:$A$89,0)),0))</f>
        <v/>
      </c>
      <c r="N105" s="11" t="str">
        <f>IF(L105="","",IFERROR(VLOOKUP(L105,'Discount Slabs'!$A$5:$B$9,2,TRUE()),0))</f>
        <v/>
      </c>
      <c r="O105" s="12"/>
      <c r="P105" s="10" t="str">
        <f t="shared" si="6"/>
        <v/>
      </c>
      <c r="Q105" s="10" t="str">
        <f t="shared" si="7"/>
        <v/>
      </c>
      <c r="R105" s="13"/>
      <c r="S105" s="10" t="str">
        <f t="shared" si="8"/>
        <v/>
      </c>
      <c r="T105" s="8"/>
      <c r="U105" s="7"/>
      <c r="V105" s="13"/>
      <c r="W105" s="9" t="str">
        <f t="shared" si="9"/>
        <v/>
      </c>
      <c r="X105" s="10" t="str">
        <f t="shared" si="10"/>
        <v/>
      </c>
      <c r="Y105" s="8"/>
      <c r="Z105" s="7"/>
      <c r="AA105" s="7"/>
      <c r="AB105" s="7"/>
      <c r="AC105" t="str">
        <f t="shared" si="11"/>
        <v/>
      </c>
    </row>
    <row r="106" spans="1:29" x14ac:dyDescent="0.3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9" t="str">
        <f>IF(J106="","",IFERROR(INDEX(Products!$B$5:$B$89,MATCH(J106,Products!$A$5:$A$89,0)),"Check ID"))</f>
        <v/>
      </c>
      <c r="L106" s="7"/>
      <c r="M106" s="10" t="str">
        <f>IF(J106="","",IFERROR(INDEX(Products!$E$5:$E$89,MATCH(J106,Products!$A$5:$A$89,0)),0))</f>
        <v/>
      </c>
      <c r="N106" s="11" t="str">
        <f>IF(L106="","",IFERROR(VLOOKUP(L106,'Discount Slabs'!$A$5:$B$9,2,TRUE()),0))</f>
        <v/>
      </c>
      <c r="O106" s="12"/>
      <c r="P106" s="10" t="str">
        <f t="shared" si="6"/>
        <v/>
      </c>
      <c r="Q106" s="10" t="str">
        <f t="shared" si="7"/>
        <v/>
      </c>
      <c r="R106" s="13"/>
      <c r="S106" s="10" t="str">
        <f t="shared" si="8"/>
        <v/>
      </c>
      <c r="T106" s="8"/>
      <c r="U106" s="7"/>
      <c r="V106" s="13"/>
      <c r="W106" s="9" t="str">
        <f t="shared" si="9"/>
        <v/>
      </c>
      <c r="X106" s="10" t="str">
        <f t="shared" si="10"/>
        <v/>
      </c>
      <c r="Y106" s="8"/>
      <c r="Z106" s="7"/>
      <c r="AA106" s="7"/>
      <c r="AB106" s="7"/>
      <c r="AC106" t="str">
        <f t="shared" si="11"/>
        <v/>
      </c>
    </row>
    <row r="107" spans="1:29" x14ac:dyDescent="0.3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9" t="str">
        <f>IF(J107="","",IFERROR(INDEX(Products!$B$5:$B$89,MATCH(J107,Products!$A$5:$A$89,0)),"Check ID"))</f>
        <v/>
      </c>
      <c r="L107" s="7"/>
      <c r="M107" s="10" t="str">
        <f>IF(J107="","",IFERROR(INDEX(Products!$E$5:$E$89,MATCH(J107,Products!$A$5:$A$89,0)),0))</f>
        <v/>
      </c>
      <c r="N107" s="11" t="str">
        <f>IF(L107="","",IFERROR(VLOOKUP(L107,'Discount Slabs'!$A$5:$B$9,2,TRUE()),0))</f>
        <v/>
      </c>
      <c r="O107" s="12"/>
      <c r="P107" s="10" t="str">
        <f t="shared" si="6"/>
        <v/>
      </c>
      <c r="Q107" s="10" t="str">
        <f t="shared" si="7"/>
        <v/>
      </c>
      <c r="R107" s="13"/>
      <c r="S107" s="10" t="str">
        <f t="shared" si="8"/>
        <v/>
      </c>
      <c r="T107" s="8"/>
      <c r="U107" s="7"/>
      <c r="V107" s="13"/>
      <c r="W107" s="9" t="str">
        <f t="shared" si="9"/>
        <v/>
      </c>
      <c r="X107" s="10" t="str">
        <f t="shared" si="10"/>
        <v/>
      </c>
      <c r="Y107" s="8"/>
      <c r="Z107" s="7"/>
      <c r="AA107" s="7"/>
      <c r="AB107" s="7"/>
      <c r="AC107" t="str">
        <f t="shared" si="11"/>
        <v/>
      </c>
    </row>
    <row r="108" spans="1:29" x14ac:dyDescent="0.3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9" t="str">
        <f>IF(J108="","",IFERROR(INDEX(Products!$B$5:$B$89,MATCH(J108,Products!$A$5:$A$89,0)),"Check ID"))</f>
        <v/>
      </c>
      <c r="L108" s="7"/>
      <c r="M108" s="10" t="str">
        <f>IF(J108="","",IFERROR(INDEX(Products!$E$5:$E$89,MATCH(J108,Products!$A$5:$A$89,0)),0))</f>
        <v/>
      </c>
      <c r="N108" s="11" t="str">
        <f>IF(L108="","",IFERROR(VLOOKUP(L108,'Discount Slabs'!$A$5:$B$9,2,TRUE()),0))</f>
        <v/>
      </c>
      <c r="O108" s="12"/>
      <c r="P108" s="10" t="str">
        <f t="shared" si="6"/>
        <v/>
      </c>
      <c r="Q108" s="10" t="str">
        <f t="shared" si="7"/>
        <v/>
      </c>
      <c r="R108" s="13"/>
      <c r="S108" s="10" t="str">
        <f t="shared" si="8"/>
        <v/>
      </c>
      <c r="T108" s="8"/>
      <c r="U108" s="7"/>
      <c r="V108" s="13"/>
      <c r="W108" s="9" t="str">
        <f t="shared" si="9"/>
        <v/>
      </c>
      <c r="X108" s="10" t="str">
        <f t="shared" si="10"/>
        <v/>
      </c>
      <c r="Y108" s="8"/>
      <c r="Z108" s="7"/>
      <c r="AA108" s="7"/>
      <c r="AB108" s="7"/>
      <c r="AC108" t="str">
        <f t="shared" si="11"/>
        <v/>
      </c>
    </row>
    <row r="109" spans="1:29" x14ac:dyDescent="0.3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9" t="str">
        <f>IF(J109="","",IFERROR(INDEX(Products!$B$5:$B$89,MATCH(J109,Products!$A$5:$A$89,0)),"Check ID"))</f>
        <v/>
      </c>
      <c r="L109" s="7"/>
      <c r="M109" s="10" t="str">
        <f>IF(J109="","",IFERROR(INDEX(Products!$E$5:$E$89,MATCH(J109,Products!$A$5:$A$89,0)),0))</f>
        <v/>
      </c>
      <c r="N109" s="11" t="str">
        <f>IF(L109="","",IFERROR(VLOOKUP(L109,'Discount Slabs'!$A$5:$B$9,2,TRUE()),0))</f>
        <v/>
      </c>
      <c r="O109" s="12"/>
      <c r="P109" s="10" t="str">
        <f t="shared" si="6"/>
        <v/>
      </c>
      <c r="Q109" s="10" t="str">
        <f t="shared" si="7"/>
        <v/>
      </c>
      <c r="R109" s="13"/>
      <c r="S109" s="10" t="str">
        <f t="shared" si="8"/>
        <v/>
      </c>
      <c r="T109" s="8"/>
      <c r="U109" s="7"/>
      <c r="V109" s="13"/>
      <c r="W109" s="9" t="str">
        <f t="shared" si="9"/>
        <v/>
      </c>
      <c r="X109" s="10" t="str">
        <f t="shared" si="10"/>
        <v/>
      </c>
      <c r="Y109" s="8"/>
      <c r="Z109" s="7"/>
      <c r="AA109" s="7"/>
      <c r="AB109" s="7"/>
      <c r="AC109" t="str">
        <f t="shared" si="11"/>
        <v/>
      </c>
    </row>
    <row r="110" spans="1:29" x14ac:dyDescent="0.3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9" t="str">
        <f>IF(J110="","",IFERROR(INDEX(Products!$B$5:$B$89,MATCH(J110,Products!$A$5:$A$89,0)),"Check ID"))</f>
        <v/>
      </c>
      <c r="L110" s="7"/>
      <c r="M110" s="10" t="str">
        <f>IF(J110="","",IFERROR(INDEX(Products!$E$5:$E$89,MATCH(J110,Products!$A$5:$A$89,0)),0))</f>
        <v/>
      </c>
      <c r="N110" s="11" t="str">
        <f>IF(L110="","",IFERROR(VLOOKUP(L110,'Discount Slabs'!$A$5:$B$9,2,TRUE()),0))</f>
        <v/>
      </c>
      <c r="O110" s="12"/>
      <c r="P110" s="10" t="str">
        <f t="shared" si="6"/>
        <v/>
      </c>
      <c r="Q110" s="10" t="str">
        <f t="shared" si="7"/>
        <v/>
      </c>
      <c r="R110" s="13"/>
      <c r="S110" s="10" t="str">
        <f t="shared" si="8"/>
        <v/>
      </c>
      <c r="T110" s="8"/>
      <c r="U110" s="7"/>
      <c r="V110" s="13"/>
      <c r="W110" s="9" t="str">
        <f t="shared" si="9"/>
        <v/>
      </c>
      <c r="X110" s="10" t="str">
        <f t="shared" si="10"/>
        <v/>
      </c>
      <c r="Y110" s="8"/>
      <c r="Z110" s="7"/>
      <c r="AA110" s="7"/>
      <c r="AB110" s="7"/>
      <c r="AC110" t="str">
        <f t="shared" si="11"/>
        <v/>
      </c>
    </row>
    <row r="111" spans="1:29" x14ac:dyDescent="0.3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9" t="str">
        <f>IF(J111="","",IFERROR(INDEX(Products!$B$5:$B$89,MATCH(J111,Products!$A$5:$A$89,0)),"Check ID"))</f>
        <v/>
      </c>
      <c r="L111" s="7"/>
      <c r="M111" s="10" t="str">
        <f>IF(J111="","",IFERROR(INDEX(Products!$E$5:$E$89,MATCH(J111,Products!$A$5:$A$89,0)),0))</f>
        <v/>
      </c>
      <c r="N111" s="11" t="str">
        <f>IF(L111="","",IFERROR(VLOOKUP(L111,'Discount Slabs'!$A$5:$B$9,2,TRUE()),0))</f>
        <v/>
      </c>
      <c r="O111" s="12"/>
      <c r="P111" s="10" t="str">
        <f t="shared" si="6"/>
        <v/>
      </c>
      <c r="Q111" s="10" t="str">
        <f t="shared" si="7"/>
        <v/>
      </c>
      <c r="R111" s="13"/>
      <c r="S111" s="10" t="str">
        <f t="shared" si="8"/>
        <v/>
      </c>
      <c r="T111" s="8"/>
      <c r="U111" s="7"/>
      <c r="V111" s="13"/>
      <c r="W111" s="9" t="str">
        <f t="shared" si="9"/>
        <v/>
      </c>
      <c r="X111" s="10" t="str">
        <f t="shared" si="10"/>
        <v/>
      </c>
      <c r="Y111" s="8"/>
      <c r="Z111" s="7"/>
      <c r="AA111" s="7"/>
      <c r="AB111" s="7"/>
      <c r="AC111" t="str">
        <f t="shared" si="11"/>
        <v/>
      </c>
    </row>
    <row r="112" spans="1:29" x14ac:dyDescent="0.3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9" t="str">
        <f>IF(J112="","",IFERROR(INDEX(Products!$B$5:$B$89,MATCH(J112,Products!$A$5:$A$89,0)),"Check ID"))</f>
        <v/>
      </c>
      <c r="L112" s="7"/>
      <c r="M112" s="10" t="str">
        <f>IF(J112="","",IFERROR(INDEX(Products!$E$5:$E$89,MATCH(J112,Products!$A$5:$A$89,0)),0))</f>
        <v/>
      </c>
      <c r="N112" s="11" t="str">
        <f>IF(L112="","",IFERROR(VLOOKUP(L112,'Discount Slabs'!$A$5:$B$9,2,TRUE()),0))</f>
        <v/>
      </c>
      <c r="O112" s="12"/>
      <c r="P112" s="10" t="str">
        <f t="shared" si="6"/>
        <v/>
      </c>
      <c r="Q112" s="10" t="str">
        <f t="shared" si="7"/>
        <v/>
      </c>
      <c r="R112" s="13"/>
      <c r="S112" s="10" t="str">
        <f t="shared" si="8"/>
        <v/>
      </c>
      <c r="T112" s="8"/>
      <c r="U112" s="7"/>
      <c r="V112" s="13"/>
      <c r="W112" s="9" t="str">
        <f t="shared" si="9"/>
        <v/>
      </c>
      <c r="X112" s="10" t="str">
        <f t="shared" si="10"/>
        <v/>
      </c>
      <c r="Y112" s="8"/>
      <c r="Z112" s="7"/>
      <c r="AA112" s="7"/>
      <c r="AB112" s="7"/>
      <c r="AC112" t="str">
        <f t="shared" si="11"/>
        <v/>
      </c>
    </row>
    <row r="113" spans="1:29" x14ac:dyDescent="0.3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9" t="str">
        <f>IF(J113="","",IFERROR(INDEX(Products!$B$5:$B$89,MATCH(J113,Products!$A$5:$A$89,0)),"Check ID"))</f>
        <v/>
      </c>
      <c r="L113" s="7"/>
      <c r="M113" s="10" t="str">
        <f>IF(J113="","",IFERROR(INDEX(Products!$E$5:$E$89,MATCH(J113,Products!$A$5:$A$89,0)),0))</f>
        <v/>
      </c>
      <c r="N113" s="11" t="str">
        <f>IF(L113="","",IFERROR(VLOOKUP(L113,'Discount Slabs'!$A$5:$B$9,2,TRUE()),0))</f>
        <v/>
      </c>
      <c r="O113" s="12"/>
      <c r="P113" s="10" t="str">
        <f t="shared" si="6"/>
        <v/>
      </c>
      <c r="Q113" s="10" t="str">
        <f t="shared" si="7"/>
        <v/>
      </c>
      <c r="R113" s="13"/>
      <c r="S113" s="10" t="str">
        <f t="shared" si="8"/>
        <v/>
      </c>
      <c r="T113" s="8"/>
      <c r="U113" s="7"/>
      <c r="V113" s="13"/>
      <c r="W113" s="9" t="str">
        <f t="shared" si="9"/>
        <v/>
      </c>
      <c r="X113" s="10" t="str">
        <f t="shared" si="10"/>
        <v/>
      </c>
      <c r="Y113" s="8"/>
      <c r="Z113" s="7"/>
      <c r="AA113" s="7"/>
      <c r="AB113" s="7"/>
      <c r="AC113" t="str">
        <f t="shared" si="11"/>
        <v/>
      </c>
    </row>
    <row r="114" spans="1:29" x14ac:dyDescent="0.3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9" t="str">
        <f>IF(J114="","",IFERROR(INDEX(Products!$B$5:$B$89,MATCH(J114,Products!$A$5:$A$89,0)),"Check ID"))</f>
        <v/>
      </c>
      <c r="L114" s="7"/>
      <c r="M114" s="10" t="str">
        <f>IF(J114="","",IFERROR(INDEX(Products!$E$5:$E$89,MATCH(J114,Products!$A$5:$A$89,0)),0))</f>
        <v/>
      </c>
      <c r="N114" s="11" t="str">
        <f>IF(L114="","",IFERROR(VLOOKUP(L114,'Discount Slabs'!$A$5:$B$9,2,TRUE()),0))</f>
        <v/>
      </c>
      <c r="O114" s="12"/>
      <c r="P114" s="10" t="str">
        <f t="shared" si="6"/>
        <v/>
      </c>
      <c r="Q114" s="10" t="str">
        <f t="shared" si="7"/>
        <v/>
      </c>
      <c r="R114" s="13"/>
      <c r="S114" s="10" t="str">
        <f t="shared" si="8"/>
        <v/>
      </c>
      <c r="T114" s="8"/>
      <c r="U114" s="7"/>
      <c r="V114" s="13"/>
      <c r="W114" s="9" t="str">
        <f t="shared" si="9"/>
        <v/>
      </c>
      <c r="X114" s="10" t="str">
        <f t="shared" si="10"/>
        <v/>
      </c>
      <c r="Y114" s="8"/>
      <c r="Z114" s="7"/>
      <c r="AA114" s="7"/>
      <c r="AB114" s="7"/>
      <c r="AC114" t="str">
        <f t="shared" si="11"/>
        <v/>
      </c>
    </row>
    <row r="115" spans="1:29" x14ac:dyDescent="0.3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9" t="str">
        <f>IF(J115="","",IFERROR(INDEX(Products!$B$5:$B$89,MATCH(J115,Products!$A$5:$A$89,0)),"Check ID"))</f>
        <v/>
      </c>
      <c r="L115" s="7"/>
      <c r="M115" s="10" t="str">
        <f>IF(J115="","",IFERROR(INDEX(Products!$E$5:$E$89,MATCH(J115,Products!$A$5:$A$89,0)),0))</f>
        <v/>
      </c>
      <c r="N115" s="11" t="str">
        <f>IF(L115="","",IFERROR(VLOOKUP(L115,'Discount Slabs'!$A$5:$B$9,2,TRUE()),0))</f>
        <v/>
      </c>
      <c r="O115" s="12"/>
      <c r="P115" s="10" t="str">
        <f t="shared" si="6"/>
        <v/>
      </c>
      <c r="Q115" s="10" t="str">
        <f t="shared" si="7"/>
        <v/>
      </c>
      <c r="R115" s="13"/>
      <c r="S115" s="10" t="str">
        <f t="shared" si="8"/>
        <v/>
      </c>
      <c r="T115" s="8"/>
      <c r="U115" s="7"/>
      <c r="V115" s="13"/>
      <c r="W115" s="9" t="str">
        <f t="shared" si="9"/>
        <v/>
      </c>
      <c r="X115" s="10" t="str">
        <f t="shared" si="10"/>
        <v/>
      </c>
      <c r="Y115" s="8"/>
      <c r="Z115" s="7"/>
      <c r="AA115" s="7"/>
      <c r="AB115" s="7"/>
      <c r="AC115" t="str">
        <f t="shared" si="11"/>
        <v/>
      </c>
    </row>
    <row r="116" spans="1:29" x14ac:dyDescent="0.3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9" t="str">
        <f>IF(J116="","",IFERROR(INDEX(Products!$B$5:$B$89,MATCH(J116,Products!$A$5:$A$89,0)),"Check ID"))</f>
        <v/>
      </c>
      <c r="L116" s="7"/>
      <c r="M116" s="10" t="str">
        <f>IF(J116="","",IFERROR(INDEX(Products!$E$5:$E$89,MATCH(J116,Products!$A$5:$A$89,0)),0))</f>
        <v/>
      </c>
      <c r="N116" s="11" t="str">
        <f>IF(L116="","",IFERROR(VLOOKUP(L116,'Discount Slabs'!$A$5:$B$9,2,TRUE()),0))</f>
        <v/>
      </c>
      <c r="O116" s="12"/>
      <c r="P116" s="10" t="str">
        <f t="shared" si="6"/>
        <v/>
      </c>
      <c r="Q116" s="10" t="str">
        <f t="shared" si="7"/>
        <v/>
      </c>
      <c r="R116" s="13"/>
      <c r="S116" s="10" t="str">
        <f t="shared" si="8"/>
        <v/>
      </c>
      <c r="T116" s="8"/>
      <c r="U116" s="7"/>
      <c r="V116" s="13"/>
      <c r="W116" s="9" t="str">
        <f t="shared" si="9"/>
        <v/>
      </c>
      <c r="X116" s="10" t="str">
        <f t="shared" si="10"/>
        <v/>
      </c>
      <c r="Y116" s="8"/>
      <c r="Z116" s="7"/>
      <c r="AA116" s="7"/>
      <c r="AB116" s="7"/>
      <c r="AC116" t="str">
        <f t="shared" si="11"/>
        <v/>
      </c>
    </row>
    <row r="117" spans="1:29" x14ac:dyDescent="0.3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9" t="str">
        <f>IF(J117="","",IFERROR(INDEX(Products!$B$5:$B$89,MATCH(J117,Products!$A$5:$A$89,0)),"Check ID"))</f>
        <v/>
      </c>
      <c r="L117" s="7"/>
      <c r="M117" s="10" t="str">
        <f>IF(J117="","",IFERROR(INDEX(Products!$E$5:$E$89,MATCH(J117,Products!$A$5:$A$89,0)),0))</f>
        <v/>
      </c>
      <c r="N117" s="11" t="str">
        <f>IF(L117="","",IFERROR(VLOOKUP(L117,'Discount Slabs'!$A$5:$B$9,2,TRUE()),0))</f>
        <v/>
      </c>
      <c r="O117" s="12"/>
      <c r="P117" s="10" t="str">
        <f t="shared" si="6"/>
        <v/>
      </c>
      <c r="Q117" s="10" t="str">
        <f t="shared" si="7"/>
        <v/>
      </c>
      <c r="R117" s="13"/>
      <c r="S117" s="10" t="str">
        <f t="shared" si="8"/>
        <v/>
      </c>
      <c r="T117" s="8"/>
      <c r="U117" s="7"/>
      <c r="V117" s="13"/>
      <c r="W117" s="9" t="str">
        <f t="shared" si="9"/>
        <v/>
      </c>
      <c r="X117" s="10" t="str">
        <f t="shared" si="10"/>
        <v/>
      </c>
      <c r="Y117" s="8"/>
      <c r="Z117" s="7"/>
      <c r="AA117" s="7"/>
      <c r="AB117" s="7"/>
      <c r="AC117" t="str">
        <f t="shared" si="11"/>
        <v/>
      </c>
    </row>
    <row r="118" spans="1:29" x14ac:dyDescent="0.3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9" t="str">
        <f>IF(J118="","",IFERROR(INDEX(Products!$B$5:$B$89,MATCH(J118,Products!$A$5:$A$89,0)),"Check ID"))</f>
        <v/>
      </c>
      <c r="L118" s="7"/>
      <c r="M118" s="10" t="str">
        <f>IF(J118="","",IFERROR(INDEX(Products!$E$5:$E$89,MATCH(J118,Products!$A$5:$A$89,0)),0))</f>
        <v/>
      </c>
      <c r="N118" s="11" t="str">
        <f>IF(L118="","",IFERROR(VLOOKUP(L118,'Discount Slabs'!$A$5:$B$9,2,TRUE()),0))</f>
        <v/>
      </c>
      <c r="O118" s="12"/>
      <c r="P118" s="10" t="str">
        <f t="shared" si="6"/>
        <v/>
      </c>
      <c r="Q118" s="10" t="str">
        <f t="shared" si="7"/>
        <v/>
      </c>
      <c r="R118" s="13"/>
      <c r="S118" s="10" t="str">
        <f t="shared" si="8"/>
        <v/>
      </c>
      <c r="T118" s="8"/>
      <c r="U118" s="7"/>
      <c r="V118" s="13"/>
      <c r="W118" s="9" t="str">
        <f t="shared" si="9"/>
        <v/>
      </c>
      <c r="X118" s="10" t="str">
        <f t="shared" si="10"/>
        <v/>
      </c>
      <c r="Y118" s="8"/>
      <c r="Z118" s="7"/>
      <c r="AA118" s="7"/>
      <c r="AB118" s="7"/>
      <c r="AC118" t="str">
        <f t="shared" si="11"/>
        <v/>
      </c>
    </row>
    <row r="119" spans="1:29" x14ac:dyDescent="0.3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9" t="str">
        <f>IF(J119="","",IFERROR(INDEX(Products!$B$5:$B$89,MATCH(J119,Products!$A$5:$A$89,0)),"Check ID"))</f>
        <v/>
      </c>
      <c r="L119" s="7"/>
      <c r="M119" s="10" t="str">
        <f>IF(J119="","",IFERROR(INDEX(Products!$E$5:$E$89,MATCH(J119,Products!$A$5:$A$89,0)),0))</f>
        <v/>
      </c>
      <c r="N119" s="11" t="str">
        <f>IF(L119="","",IFERROR(VLOOKUP(L119,'Discount Slabs'!$A$5:$B$9,2,TRUE()),0))</f>
        <v/>
      </c>
      <c r="O119" s="12"/>
      <c r="P119" s="10" t="str">
        <f t="shared" si="6"/>
        <v/>
      </c>
      <c r="Q119" s="10" t="str">
        <f t="shared" si="7"/>
        <v/>
      </c>
      <c r="R119" s="13"/>
      <c r="S119" s="10" t="str">
        <f t="shared" si="8"/>
        <v/>
      </c>
      <c r="T119" s="8"/>
      <c r="U119" s="7"/>
      <c r="V119" s="13"/>
      <c r="W119" s="9" t="str">
        <f t="shared" si="9"/>
        <v/>
      </c>
      <c r="X119" s="10" t="str">
        <f t="shared" si="10"/>
        <v/>
      </c>
      <c r="Y119" s="8"/>
      <c r="Z119" s="7"/>
      <c r="AA119" s="7"/>
      <c r="AB119" s="7"/>
      <c r="AC119" t="str">
        <f t="shared" si="11"/>
        <v/>
      </c>
    </row>
    <row r="120" spans="1:29" x14ac:dyDescent="0.3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9" t="str">
        <f>IF(J120="","",IFERROR(INDEX(Products!$B$5:$B$89,MATCH(J120,Products!$A$5:$A$89,0)),"Check ID"))</f>
        <v/>
      </c>
      <c r="L120" s="7"/>
      <c r="M120" s="10" t="str">
        <f>IF(J120="","",IFERROR(INDEX(Products!$E$5:$E$89,MATCH(J120,Products!$A$5:$A$89,0)),0))</f>
        <v/>
      </c>
      <c r="N120" s="11" t="str">
        <f>IF(L120="","",IFERROR(VLOOKUP(L120,'Discount Slabs'!$A$5:$B$9,2,TRUE()),0))</f>
        <v/>
      </c>
      <c r="O120" s="12"/>
      <c r="P120" s="10" t="str">
        <f t="shared" si="6"/>
        <v/>
      </c>
      <c r="Q120" s="10" t="str">
        <f t="shared" si="7"/>
        <v/>
      </c>
      <c r="R120" s="13"/>
      <c r="S120" s="10" t="str">
        <f t="shared" si="8"/>
        <v/>
      </c>
      <c r="T120" s="8"/>
      <c r="U120" s="7"/>
      <c r="V120" s="13"/>
      <c r="W120" s="9" t="str">
        <f t="shared" si="9"/>
        <v/>
      </c>
      <c r="X120" s="10" t="str">
        <f t="shared" si="10"/>
        <v/>
      </c>
      <c r="Y120" s="8"/>
      <c r="Z120" s="7"/>
      <c r="AA120" s="7"/>
      <c r="AB120" s="7"/>
      <c r="AC120" t="str">
        <f t="shared" si="11"/>
        <v/>
      </c>
    </row>
    <row r="121" spans="1:29" x14ac:dyDescent="0.3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9" t="str">
        <f>IF(J121="","",IFERROR(INDEX(Products!$B$5:$B$89,MATCH(J121,Products!$A$5:$A$89,0)),"Check ID"))</f>
        <v/>
      </c>
      <c r="L121" s="7"/>
      <c r="M121" s="10" t="str">
        <f>IF(J121="","",IFERROR(INDEX(Products!$E$5:$E$89,MATCH(J121,Products!$A$5:$A$89,0)),0))</f>
        <v/>
      </c>
      <c r="N121" s="11" t="str">
        <f>IF(L121="","",IFERROR(VLOOKUP(L121,'Discount Slabs'!$A$5:$B$9,2,TRUE()),0))</f>
        <v/>
      </c>
      <c r="O121" s="12"/>
      <c r="P121" s="10" t="str">
        <f t="shared" si="6"/>
        <v/>
      </c>
      <c r="Q121" s="10" t="str">
        <f t="shared" si="7"/>
        <v/>
      </c>
      <c r="R121" s="13"/>
      <c r="S121" s="10" t="str">
        <f t="shared" si="8"/>
        <v/>
      </c>
      <c r="T121" s="8"/>
      <c r="U121" s="7"/>
      <c r="V121" s="13"/>
      <c r="W121" s="9" t="str">
        <f t="shared" si="9"/>
        <v/>
      </c>
      <c r="X121" s="10" t="str">
        <f t="shared" si="10"/>
        <v/>
      </c>
      <c r="Y121" s="8"/>
      <c r="Z121" s="7"/>
      <c r="AA121" s="7"/>
      <c r="AB121" s="7"/>
      <c r="AC121" t="str">
        <f t="shared" si="11"/>
        <v/>
      </c>
    </row>
    <row r="122" spans="1:29" x14ac:dyDescent="0.3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9" t="str">
        <f>IF(J122="","",IFERROR(INDEX(Products!$B$5:$B$89,MATCH(J122,Products!$A$5:$A$89,0)),"Check ID"))</f>
        <v/>
      </c>
      <c r="L122" s="7"/>
      <c r="M122" s="10" t="str">
        <f>IF(J122="","",IFERROR(INDEX(Products!$E$5:$E$89,MATCH(J122,Products!$A$5:$A$89,0)),0))</f>
        <v/>
      </c>
      <c r="N122" s="11" t="str">
        <f>IF(L122="","",IFERROR(VLOOKUP(L122,'Discount Slabs'!$A$5:$B$9,2,TRUE()),0))</f>
        <v/>
      </c>
      <c r="O122" s="12"/>
      <c r="P122" s="10" t="str">
        <f t="shared" si="6"/>
        <v/>
      </c>
      <c r="Q122" s="10" t="str">
        <f t="shared" si="7"/>
        <v/>
      </c>
      <c r="R122" s="13"/>
      <c r="S122" s="10" t="str">
        <f t="shared" si="8"/>
        <v/>
      </c>
      <c r="T122" s="8"/>
      <c r="U122" s="7"/>
      <c r="V122" s="13"/>
      <c r="W122" s="9" t="str">
        <f t="shared" si="9"/>
        <v/>
      </c>
      <c r="X122" s="10" t="str">
        <f t="shared" si="10"/>
        <v/>
      </c>
      <c r="Y122" s="8"/>
      <c r="Z122" s="7"/>
      <c r="AA122" s="7"/>
      <c r="AB122" s="7"/>
      <c r="AC122" t="str">
        <f t="shared" si="11"/>
        <v/>
      </c>
    </row>
    <row r="123" spans="1:29" x14ac:dyDescent="0.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9" t="str">
        <f>IF(J123="","",IFERROR(INDEX(Products!$B$5:$B$89,MATCH(J123,Products!$A$5:$A$89,0)),"Check ID"))</f>
        <v/>
      </c>
      <c r="L123" s="7"/>
      <c r="M123" s="10" t="str">
        <f>IF(J123="","",IFERROR(INDEX(Products!$E$5:$E$89,MATCH(J123,Products!$A$5:$A$89,0)),0))</f>
        <v/>
      </c>
      <c r="N123" s="11" t="str">
        <f>IF(L123="","",IFERROR(VLOOKUP(L123,'Discount Slabs'!$A$5:$B$9,2,TRUE()),0))</f>
        <v/>
      </c>
      <c r="O123" s="12"/>
      <c r="P123" s="10" t="str">
        <f t="shared" si="6"/>
        <v/>
      </c>
      <c r="Q123" s="10" t="str">
        <f t="shared" si="7"/>
        <v/>
      </c>
      <c r="R123" s="13"/>
      <c r="S123" s="10" t="str">
        <f t="shared" si="8"/>
        <v/>
      </c>
      <c r="T123" s="8"/>
      <c r="U123" s="7"/>
      <c r="V123" s="13"/>
      <c r="W123" s="9" t="str">
        <f t="shared" si="9"/>
        <v/>
      </c>
      <c r="X123" s="10" t="str">
        <f t="shared" si="10"/>
        <v/>
      </c>
      <c r="Y123" s="8"/>
      <c r="Z123" s="7"/>
      <c r="AA123" s="7"/>
      <c r="AB123" s="7"/>
      <c r="AC123" t="str">
        <f t="shared" si="11"/>
        <v/>
      </c>
    </row>
    <row r="124" spans="1:29" x14ac:dyDescent="0.3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9" t="str">
        <f>IF(J124="","",IFERROR(INDEX(Products!$B$5:$B$89,MATCH(J124,Products!$A$5:$A$89,0)),"Check ID"))</f>
        <v/>
      </c>
      <c r="L124" s="7"/>
      <c r="M124" s="10" t="str">
        <f>IF(J124="","",IFERROR(INDEX(Products!$E$5:$E$89,MATCH(J124,Products!$A$5:$A$89,0)),0))</f>
        <v/>
      </c>
      <c r="N124" s="11" t="str">
        <f>IF(L124="","",IFERROR(VLOOKUP(L124,'Discount Slabs'!$A$5:$B$9,2,TRUE()),0))</f>
        <v/>
      </c>
      <c r="O124" s="12"/>
      <c r="P124" s="10" t="str">
        <f t="shared" si="6"/>
        <v/>
      </c>
      <c r="Q124" s="10" t="str">
        <f t="shared" si="7"/>
        <v/>
      </c>
      <c r="R124" s="13"/>
      <c r="S124" s="10" t="str">
        <f t="shared" si="8"/>
        <v/>
      </c>
      <c r="T124" s="8"/>
      <c r="U124" s="7"/>
      <c r="V124" s="13"/>
      <c r="W124" s="9" t="str">
        <f t="shared" si="9"/>
        <v/>
      </c>
      <c r="X124" s="10" t="str">
        <f t="shared" si="10"/>
        <v/>
      </c>
      <c r="Y124" s="8"/>
      <c r="Z124" s="7"/>
      <c r="AA124" s="7"/>
      <c r="AB124" s="7"/>
      <c r="AC124" t="str">
        <f t="shared" si="11"/>
        <v/>
      </c>
    </row>
    <row r="125" spans="1:29" x14ac:dyDescent="0.3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9" t="str">
        <f>IF(J125="","",IFERROR(INDEX(Products!$B$5:$B$89,MATCH(J125,Products!$A$5:$A$89,0)),"Check ID"))</f>
        <v/>
      </c>
      <c r="L125" s="7"/>
      <c r="M125" s="10" t="str">
        <f>IF(J125="","",IFERROR(INDEX(Products!$E$5:$E$89,MATCH(J125,Products!$A$5:$A$89,0)),0))</f>
        <v/>
      </c>
      <c r="N125" s="11" t="str">
        <f>IF(L125="","",IFERROR(VLOOKUP(L125,'Discount Slabs'!$A$5:$B$9,2,TRUE()),0))</f>
        <v/>
      </c>
      <c r="O125" s="12"/>
      <c r="P125" s="10" t="str">
        <f t="shared" si="6"/>
        <v/>
      </c>
      <c r="Q125" s="10" t="str">
        <f t="shared" si="7"/>
        <v/>
      </c>
      <c r="R125" s="13"/>
      <c r="S125" s="10" t="str">
        <f t="shared" si="8"/>
        <v/>
      </c>
      <c r="T125" s="8"/>
      <c r="U125" s="7"/>
      <c r="V125" s="13"/>
      <c r="W125" s="9" t="str">
        <f t="shared" si="9"/>
        <v/>
      </c>
      <c r="X125" s="10" t="str">
        <f t="shared" si="10"/>
        <v/>
      </c>
      <c r="Y125" s="8"/>
      <c r="Z125" s="7"/>
      <c r="AA125" s="7"/>
      <c r="AB125" s="7"/>
      <c r="AC125" t="str">
        <f t="shared" si="11"/>
        <v/>
      </c>
    </row>
    <row r="126" spans="1:29" x14ac:dyDescent="0.3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9" t="str">
        <f>IF(J126="","",IFERROR(INDEX(Products!$B$5:$B$89,MATCH(J126,Products!$A$5:$A$89,0)),"Check ID"))</f>
        <v/>
      </c>
      <c r="L126" s="7"/>
      <c r="M126" s="10" t="str">
        <f>IF(J126="","",IFERROR(INDEX(Products!$E$5:$E$89,MATCH(J126,Products!$A$5:$A$89,0)),0))</f>
        <v/>
      </c>
      <c r="N126" s="11" t="str">
        <f>IF(L126="","",IFERROR(VLOOKUP(L126,'Discount Slabs'!$A$5:$B$9,2,TRUE()),0))</f>
        <v/>
      </c>
      <c r="O126" s="12"/>
      <c r="P126" s="10" t="str">
        <f t="shared" si="6"/>
        <v/>
      </c>
      <c r="Q126" s="10" t="str">
        <f t="shared" si="7"/>
        <v/>
      </c>
      <c r="R126" s="13"/>
      <c r="S126" s="10" t="str">
        <f t="shared" si="8"/>
        <v/>
      </c>
      <c r="T126" s="8"/>
      <c r="U126" s="7"/>
      <c r="V126" s="13"/>
      <c r="W126" s="9" t="str">
        <f t="shared" si="9"/>
        <v/>
      </c>
      <c r="X126" s="10" t="str">
        <f t="shared" si="10"/>
        <v/>
      </c>
      <c r="Y126" s="8"/>
      <c r="Z126" s="7"/>
      <c r="AA126" s="7"/>
      <c r="AB126" s="7"/>
      <c r="AC126" t="str">
        <f t="shared" si="11"/>
        <v/>
      </c>
    </row>
    <row r="127" spans="1:29" x14ac:dyDescent="0.3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9" t="str">
        <f>IF(J127="","",IFERROR(INDEX(Products!$B$5:$B$89,MATCH(J127,Products!$A$5:$A$89,0)),"Check ID"))</f>
        <v/>
      </c>
      <c r="L127" s="7"/>
      <c r="M127" s="10" t="str">
        <f>IF(J127="","",IFERROR(INDEX(Products!$E$5:$E$89,MATCH(J127,Products!$A$5:$A$89,0)),0))</f>
        <v/>
      </c>
      <c r="N127" s="11" t="str">
        <f>IF(L127="","",IFERROR(VLOOKUP(L127,'Discount Slabs'!$A$5:$B$9,2,TRUE()),0))</f>
        <v/>
      </c>
      <c r="O127" s="12"/>
      <c r="P127" s="10" t="str">
        <f t="shared" si="6"/>
        <v/>
      </c>
      <c r="Q127" s="10" t="str">
        <f t="shared" si="7"/>
        <v/>
      </c>
      <c r="R127" s="13"/>
      <c r="S127" s="10" t="str">
        <f t="shared" si="8"/>
        <v/>
      </c>
      <c r="T127" s="8"/>
      <c r="U127" s="7"/>
      <c r="V127" s="13"/>
      <c r="W127" s="9" t="str">
        <f t="shared" si="9"/>
        <v/>
      </c>
      <c r="X127" s="10" t="str">
        <f t="shared" si="10"/>
        <v/>
      </c>
      <c r="Y127" s="8"/>
      <c r="Z127" s="7"/>
      <c r="AA127" s="7"/>
      <c r="AB127" s="7"/>
      <c r="AC127" t="str">
        <f t="shared" si="11"/>
        <v/>
      </c>
    </row>
    <row r="128" spans="1:29" x14ac:dyDescent="0.3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9" t="str">
        <f>IF(J128="","",IFERROR(INDEX(Products!$B$5:$B$89,MATCH(J128,Products!$A$5:$A$89,0)),"Check ID"))</f>
        <v/>
      </c>
      <c r="L128" s="7"/>
      <c r="M128" s="10" t="str">
        <f>IF(J128="","",IFERROR(INDEX(Products!$E$5:$E$89,MATCH(J128,Products!$A$5:$A$89,0)),0))</f>
        <v/>
      </c>
      <c r="N128" s="11" t="str">
        <f>IF(L128="","",IFERROR(VLOOKUP(L128,'Discount Slabs'!$A$5:$B$9,2,TRUE()),0))</f>
        <v/>
      </c>
      <c r="O128" s="12"/>
      <c r="P128" s="10" t="str">
        <f t="shared" si="6"/>
        <v/>
      </c>
      <c r="Q128" s="10" t="str">
        <f t="shared" si="7"/>
        <v/>
      </c>
      <c r="R128" s="13"/>
      <c r="S128" s="10" t="str">
        <f t="shared" si="8"/>
        <v/>
      </c>
      <c r="T128" s="8"/>
      <c r="U128" s="7"/>
      <c r="V128" s="13"/>
      <c r="W128" s="9" t="str">
        <f t="shared" si="9"/>
        <v/>
      </c>
      <c r="X128" s="10" t="str">
        <f t="shared" si="10"/>
        <v/>
      </c>
      <c r="Y128" s="8"/>
      <c r="Z128" s="7"/>
      <c r="AA128" s="7"/>
      <c r="AB128" s="7"/>
      <c r="AC128" t="str">
        <f t="shared" si="11"/>
        <v/>
      </c>
    </row>
    <row r="129" spans="1:29" x14ac:dyDescent="0.3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9" t="str">
        <f>IF(J129="","",IFERROR(INDEX(Products!$B$5:$B$89,MATCH(J129,Products!$A$5:$A$89,0)),"Check ID"))</f>
        <v/>
      </c>
      <c r="L129" s="7"/>
      <c r="M129" s="10" t="str">
        <f>IF(J129="","",IFERROR(INDEX(Products!$E$5:$E$89,MATCH(J129,Products!$A$5:$A$89,0)),0))</f>
        <v/>
      </c>
      <c r="N129" s="11" t="str">
        <f>IF(L129="","",IFERROR(VLOOKUP(L129,'Discount Slabs'!$A$5:$B$9,2,TRUE()),0))</f>
        <v/>
      </c>
      <c r="O129" s="12"/>
      <c r="P129" s="10" t="str">
        <f t="shared" si="6"/>
        <v/>
      </c>
      <c r="Q129" s="10" t="str">
        <f t="shared" si="7"/>
        <v/>
      </c>
      <c r="R129" s="13"/>
      <c r="S129" s="10" t="str">
        <f t="shared" si="8"/>
        <v/>
      </c>
      <c r="T129" s="8"/>
      <c r="U129" s="7"/>
      <c r="V129" s="13"/>
      <c r="W129" s="9" t="str">
        <f t="shared" si="9"/>
        <v/>
      </c>
      <c r="X129" s="10" t="str">
        <f t="shared" si="10"/>
        <v/>
      </c>
      <c r="Y129" s="8"/>
      <c r="Z129" s="7"/>
      <c r="AA129" s="7"/>
      <c r="AB129" s="7"/>
      <c r="AC129" t="str">
        <f t="shared" si="11"/>
        <v/>
      </c>
    </row>
    <row r="130" spans="1:29" x14ac:dyDescent="0.3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9" t="str">
        <f>IF(J130="","",IFERROR(INDEX(Products!$B$5:$B$89,MATCH(J130,Products!$A$5:$A$89,0)),"Check ID"))</f>
        <v/>
      </c>
      <c r="L130" s="7"/>
      <c r="M130" s="10" t="str">
        <f>IF(J130="","",IFERROR(INDEX(Products!$E$5:$E$89,MATCH(J130,Products!$A$5:$A$89,0)),0))</f>
        <v/>
      </c>
      <c r="N130" s="11" t="str">
        <f>IF(L130="","",IFERROR(VLOOKUP(L130,'Discount Slabs'!$A$5:$B$9,2,TRUE()),0))</f>
        <v/>
      </c>
      <c r="O130" s="12"/>
      <c r="P130" s="10" t="str">
        <f t="shared" si="6"/>
        <v/>
      </c>
      <c r="Q130" s="10" t="str">
        <f t="shared" si="7"/>
        <v/>
      </c>
      <c r="R130" s="13"/>
      <c r="S130" s="10" t="str">
        <f t="shared" si="8"/>
        <v/>
      </c>
      <c r="T130" s="8"/>
      <c r="U130" s="7"/>
      <c r="V130" s="13"/>
      <c r="W130" s="9" t="str">
        <f t="shared" si="9"/>
        <v/>
      </c>
      <c r="X130" s="10" t="str">
        <f t="shared" si="10"/>
        <v/>
      </c>
      <c r="Y130" s="8"/>
      <c r="Z130" s="7"/>
      <c r="AA130" s="7"/>
      <c r="AB130" s="7"/>
      <c r="AC130" t="str">
        <f t="shared" si="11"/>
        <v/>
      </c>
    </row>
    <row r="131" spans="1:29" x14ac:dyDescent="0.3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9" t="str">
        <f>IF(J131="","",IFERROR(INDEX(Products!$B$5:$B$89,MATCH(J131,Products!$A$5:$A$89,0)),"Check ID"))</f>
        <v/>
      </c>
      <c r="L131" s="7"/>
      <c r="M131" s="10" t="str">
        <f>IF(J131="","",IFERROR(INDEX(Products!$E$5:$E$89,MATCH(J131,Products!$A$5:$A$89,0)),0))</f>
        <v/>
      </c>
      <c r="N131" s="11" t="str">
        <f>IF(L131="","",IFERROR(VLOOKUP(L131,'Discount Slabs'!$A$5:$B$9,2,TRUE()),0))</f>
        <v/>
      </c>
      <c r="O131" s="12"/>
      <c r="P131" s="10" t="str">
        <f t="shared" si="6"/>
        <v/>
      </c>
      <c r="Q131" s="10" t="str">
        <f t="shared" si="7"/>
        <v/>
      </c>
      <c r="R131" s="13"/>
      <c r="S131" s="10" t="str">
        <f t="shared" si="8"/>
        <v/>
      </c>
      <c r="T131" s="8"/>
      <c r="U131" s="7"/>
      <c r="V131" s="13"/>
      <c r="W131" s="9" t="str">
        <f t="shared" si="9"/>
        <v/>
      </c>
      <c r="X131" s="10" t="str">
        <f t="shared" si="10"/>
        <v/>
      </c>
      <c r="Y131" s="8"/>
      <c r="Z131" s="7"/>
      <c r="AA131" s="7"/>
      <c r="AB131" s="7"/>
      <c r="AC131" t="str">
        <f t="shared" si="11"/>
        <v/>
      </c>
    </row>
    <row r="132" spans="1:29" x14ac:dyDescent="0.3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9" t="str">
        <f>IF(J132="","",IFERROR(INDEX(Products!$B$5:$B$89,MATCH(J132,Products!$A$5:$A$89,0)),"Check ID"))</f>
        <v/>
      </c>
      <c r="L132" s="7"/>
      <c r="M132" s="10" t="str">
        <f>IF(J132="","",IFERROR(INDEX(Products!$E$5:$E$89,MATCH(J132,Products!$A$5:$A$89,0)),0))</f>
        <v/>
      </c>
      <c r="N132" s="11" t="str">
        <f>IF(L132="","",IFERROR(VLOOKUP(L132,'Discount Slabs'!$A$5:$B$9,2,TRUE()),0))</f>
        <v/>
      </c>
      <c r="O132" s="12"/>
      <c r="P132" s="10" t="str">
        <f t="shared" si="6"/>
        <v/>
      </c>
      <c r="Q132" s="10" t="str">
        <f t="shared" si="7"/>
        <v/>
      </c>
      <c r="R132" s="13"/>
      <c r="S132" s="10" t="str">
        <f t="shared" si="8"/>
        <v/>
      </c>
      <c r="T132" s="8"/>
      <c r="U132" s="7"/>
      <c r="V132" s="13"/>
      <c r="W132" s="9" t="str">
        <f t="shared" si="9"/>
        <v/>
      </c>
      <c r="X132" s="10" t="str">
        <f t="shared" si="10"/>
        <v/>
      </c>
      <c r="Y132" s="8"/>
      <c r="Z132" s="7"/>
      <c r="AA132" s="7"/>
      <c r="AB132" s="7"/>
      <c r="AC132" t="str">
        <f t="shared" si="11"/>
        <v/>
      </c>
    </row>
    <row r="133" spans="1:29" x14ac:dyDescent="0.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9" t="str">
        <f>IF(J133="","",IFERROR(INDEX(Products!$B$5:$B$89,MATCH(J133,Products!$A$5:$A$89,0)),"Check ID"))</f>
        <v/>
      </c>
      <c r="L133" s="7"/>
      <c r="M133" s="10" t="str">
        <f>IF(J133="","",IFERROR(INDEX(Products!$E$5:$E$89,MATCH(J133,Products!$A$5:$A$89,0)),0))</f>
        <v/>
      </c>
      <c r="N133" s="11" t="str">
        <f>IF(L133="","",IFERROR(VLOOKUP(L133,'Discount Slabs'!$A$5:$B$9,2,TRUE()),0))</f>
        <v/>
      </c>
      <c r="O133" s="12"/>
      <c r="P133" s="10" t="str">
        <f t="shared" ref="P133:P196" si="12">IF(OR(J133="",L133=""),"",ROUND(M133*(1-N133-N(O133)),0))</f>
        <v/>
      </c>
      <c r="Q133" s="10" t="str">
        <f t="shared" ref="Q133:Q196" si="13">IF(P133="","",P133*L133)</f>
        <v/>
      </c>
      <c r="R133" s="13"/>
      <c r="S133" s="10" t="str">
        <f t="shared" ref="S133:S196" si="14">IF(Q133="","",Q133+N(R133))</f>
        <v/>
      </c>
      <c r="T133" s="8"/>
      <c r="U133" s="7"/>
      <c r="V133" s="13"/>
      <c r="W133" s="9" t="str">
        <f t="shared" ref="W133:W196" si="15">IF(OR(U133="Advance received",U133="In production",U133="Dispatched",U133="Delivered"),"Won","")</f>
        <v/>
      </c>
      <c r="X133" s="10" t="str">
        <f t="shared" ref="X133:X196" si="16">IF(S133="","",S133-N(V133))</f>
        <v/>
      </c>
      <c r="Y133" s="8"/>
      <c r="Z133" s="7"/>
      <c r="AA133" s="7"/>
      <c r="AB133" s="7"/>
      <c r="AC133" t="str">
        <f t="shared" ref="AC133:AC196" si="17">IF(P133="","",L133*M133)</f>
        <v/>
      </c>
    </row>
    <row r="134" spans="1:29" x14ac:dyDescent="0.3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9" t="str">
        <f>IF(J134="","",IFERROR(INDEX(Products!$B$5:$B$89,MATCH(J134,Products!$A$5:$A$89,0)),"Check ID"))</f>
        <v/>
      </c>
      <c r="L134" s="7"/>
      <c r="M134" s="10" t="str">
        <f>IF(J134="","",IFERROR(INDEX(Products!$E$5:$E$89,MATCH(J134,Products!$A$5:$A$89,0)),0))</f>
        <v/>
      </c>
      <c r="N134" s="11" t="str">
        <f>IF(L134="","",IFERROR(VLOOKUP(L134,'Discount Slabs'!$A$5:$B$9,2,TRUE()),0))</f>
        <v/>
      </c>
      <c r="O134" s="12"/>
      <c r="P134" s="10" t="str">
        <f t="shared" si="12"/>
        <v/>
      </c>
      <c r="Q134" s="10" t="str">
        <f t="shared" si="13"/>
        <v/>
      </c>
      <c r="R134" s="13"/>
      <c r="S134" s="10" t="str">
        <f t="shared" si="14"/>
        <v/>
      </c>
      <c r="T134" s="8"/>
      <c r="U134" s="7"/>
      <c r="V134" s="13"/>
      <c r="W134" s="9" t="str">
        <f t="shared" si="15"/>
        <v/>
      </c>
      <c r="X134" s="10" t="str">
        <f t="shared" si="16"/>
        <v/>
      </c>
      <c r="Y134" s="8"/>
      <c r="Z134" s="7"/>
      <c r="AA134" s="7"/>
      <c r="AB134" s="7"/>
      <c r="AC134" t="str">
        <f t="shared" si="17"/>
        <v/>
      </c>
    </row>
    <row r="135" spans="1:29" x14ac:dyDescent="0.3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9" t="str">
        <f>IF(J135="","",IFERROR(INDEX(Products!$B$5:$B$89,MATCH(J135,Products!$A$5:$A$89,0)),"Check ID"))</f>
        <v/>
      </c>
      <c r="L135" s="7"/>
      <c r="M135" s="10" t="str">
        <f>IF(J135="","",IFERROR(INDEX(Products!$E$5:$E$89,MATCH(J135,Products!$A$5:$A$89,0)),0))</f>
        <v/>
      </c>
      <c r="N135" s="11" t="str">
        <f>IF(L135="","",IFERROR(VLOOKUP(L135,'Discount Slabs'!$A$5:$B$9,2,TRUE()),0))</f>
        <v/>
      </c>
      <c r="O135" s="12"/>
      <c r="P135" s="10" t="str">
        <f t="shared" si="12"/>
        <v/>
      </c>
      <c r="Q135" s="10" t="str">
        <f t="shared" si="13"/>
        <v/>
      </c>
      <c r="R135" s="13"/>
      <c r="S135" s="10" t="str">
        <f t="shared" si="14"/>
        <v/>
      </c>
      <c r="T135" s="8"/>
      <c r="U135" s="7"/>
      <c r="V135" s="13"/>
      <c r="W135" s="9" t="str">
        <f t="shared" si="15"/>
        <v/>
      </c>
      <c r="X135" s="10" t="str">
        <f t="shared" si="16"/>
        <v/>
      </c>
      <c r="Y135" s="8"/>
      <c r="Z135" s="7"/>
      <c r="AA135" s="7"/>
      <c r="AB135" s="7"/>
      <c r="AC135" t="str">
        <f t="shared" si="17"/>
        <v/>
      </c>
    </row>
    <row r="136" spans="1:29" x14ac:dyDescent="0.3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9" t="str">
        <f>IF(J136="","",IFERROR(INDEX(Products!$B$5:$B$89,MATCH(J136,Products!$A$5:$A$89,0)),"Check ID"))</f>
        <v/>
      </c>
      <c r="L136" s="7"/>
      <c r="M136" s="10" t="str">
        <f>IF(J136="","",IFERROR(INDEX(Products!$E$5:$E$89,MATCH(J136,Products!$A$5:$A$89,0)),0))</f>
        <v/>
      </c>
      <c r="N136" s="11" t="str">
        <f>IF(L136="","",IFERROR(VLOOKUP(L136,'Discount Slabs'!$A$5:$B$9,2,TRUE()),0))</f>
        <v/>
      </c>
      <c r="O136" s="12"/>
      <c r="P136" s="10" t="str">
        <f t="shared" si="12"/>
        <v/>
      </c>
      <c r="Q136" s="10" t="str">
        <f t="shared" si="13"/>
        <v/>
      </c>
      <c r="R136" s="13"/>
      <c r="S136" s="10" t="str">
        <f t="shared" si="14"/>
        <v/>
      </c>
      <c r="T136" s="8"/>
      <c r="U136" s="7"/>
      <c r="V136" s="13"/>
      <c r="W136" s="9" t="str">
        <f t="shared" si="15"/>
        <v/>
      </c>
      <c r="X136" s="10" t="str">
        <f t="shared" si="16"/>
        <v/>
      </c>
      <c r="Y136" s="8"/>
      <c r="Z136" s="7"/>
      <c r="AA136" s="7"/>
      <c r="AB136" s="7"/>
      <c r="AC136" t="str">
        <f t="shared" si="17"/>
        <v/>
      </c>
    </row>
    <row r="137" spans="1:29" x14ac:dyDescent="0.3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9" t="str">
        <f>IF(J137="","",IFERROR(INDEX(Products!$B$5:$B$89,MATCH(J137,Products!$A$5:$A$89,0)),"Check ID"))</f>
        <v/>
      </c>
      <c r="L137" s="7"/>
      <c r="M137" s="10" t="str">
        <f>IF(J137="","",IFERROR(INDEX(Products!$E$5:$E$89,MATCH(J137,Products!$A$5:$A$89,0)),0))</f>
        <v/>
      </c>
      <c r="N137" s="11" t="str">
        <f>IF(L137="","",IFERROR(VLOOKUP(L137,'Discount Slabs'!$A$5:$B$9,2,TRUE()),0))</f>
        <v/>
      </c>
      <c r="O137" s="12"/>
      <c r="P137" s="10" t="str">
        <f t="shared" si="12"/>
        <v/>
      </c>
      <c r="Q137" s="10" t="str">
        <f t="shared" si="13"/>
        <v/>
      </c>
      <c r="R137" s="13"/>
      <c r="S137" s="10" t="str">
        <f t="shared" si="14"/>
        <v/>
      </c>
      <c r="T137" s="8"/>
      <c r="U137" s="7"/>
      <c r="V137" s="13"/>
      <c r="W137" s="9" t="str">
        <f t="shared" si="15"/>
        <v/>
      </c>
      <c r="X137" s="10" t="str">
        <f t="shared" si="16"/>
        <v/>
      </c>
      <c r="Y137" s="8"/>
      <c r="Z137" s="7"/>
      <c r="AA137" s="7"/>
      <c r="AB137" s="7"/>
      <c r="AC137" t="str">
        <f t="shared" si="17"/>
        <v/>
      </c>
    </row>
    <row r="138" spans="1:29" x14ac:dyDescent="0.3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9" t="str">
        <f>IF(J138="","",IFERROR(INDEX(Products!$B$5:$B$89,MATCH(J138,Products!$A$5:$A$89,0)),"Check ID"))</f>
        <v/>
      </c>
      <c r="L138" s="7"/>
      <c r="M138" s="10" t="str">
        <f>IF(J138="","",IFERROR(INDEX(Products!$E$5:$E$89,MATCH(J138,Products!$A$5:$A$89,0)),0))</f>
        <v/>
      </c>
      <c r="N138" s="11" t="str">
        <f>IF(L138="","",IFERROR(VLOOKUP(L138,'Discount Slabs'!$A$5:$B$9,2,TRUE()),0))</f>
        <v/>
      </c>
      <c r="O138" s="12"/>
      <c r="P138" s="10" t="str">
        <f t="shared" si="12"/>
        <v/>
      </c>
      <c r="Q138" s="10" t="str">
        <f t="shared" si="13"/>
        <v/>
      </c>
      <c r="R138" s="13"/>
      <c r="S138" s="10" t="str">
        <f t="shared" si="14"/>
        <v/>
      </c>
      <c r="T138" s="8"/>
      <c r="U138" s="7"/>
      <c r="V138" s="13"/>
      <c r="W138" s="9" t="str">
        <f t="shared" si="15"/>
        <v/>
      </c>
      <c r="X138" s="10" t="str">
        <f t="shared" si="16"/>
        <v/>
      </c>
      <c r="Y138" s="8"/>
      <c r="Z138" s="7"/>
      <c r="AA138" s="7"/>
      <c r="AB138" s="7"/>
      <c r="AC138" t="str">
        <f t="shared" si="17"/>
        <v/>
      </c>
    </row>
    <row r="139" spans="1:29" x14ac:dyDescent="0.3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9" t="str">
        <f>IF(J139="","",IFERROR(INDEX(Products!$B$5:$B$89,MATCH(J139,Products!$A$5:$A$89,0)),"Check ID"))</f>
        <v/>
      </c>
      <c r="L139" s="7"/>
      <c r="M139" s="10" t="str">
        <f>IF(J139="","",IFERROR(INDEX(Products!$E$5:$E$89,MATCH(J139,Products!$A$5:$A$89,0)),0))</f>
        <v/>
      </c>
      <c r="N139" s="11" t="str">
        <f>IF(L139="","",IFERROR(VLOOKUP(L139,'Discount Slabs'!$A$5:$B$9,2,TRUE()),0))</f>
        <v/>
      </c>
      <c r="O139" s="12"/>
      <c r="P139" s="10" t="str">
        <f t="shared" si="12"/>
        <v/>
      </c>
      <c r="Q139" s="10" t="str">
        <f t="shared" si="13"/>
        <v/>
      </c>
      <c r="R139" s="13"/>
      <c r="S139" s="10" t="str">
        <f t="shared" si="14"/>
        <v/>
      </c>
      <c r="T139" s="8"/>
      <c r="U139" s="7"/>
      <c r="V139" s="13"/>
      <c r="W139" s="9" t="str">
        <f t="shared" si="15"/>
        <v/>
      </c>
      <c r="X139" s="10" t="str">
        <f t="shared" si="16"/>
        <v/>
      </c>
      <c r="Y139" s="8"/>
      <c r="Z139" s="7"/>
      <c r="AA139" s="7"/>
      <c r="AB139" s="7"/>
      <c r="AC139" t="str">
        <f t="shared" si="17"/>
        <v/>
      </c>
    </row>
    <row r="140" spans="1:29" x14ac:dyDescent="0.3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9" t="str">
        <f>IF(J140="","",IFERROR(INDEX(Products!$B$5:$B$89,MATCH(J140,Products!$A$5:$A$89,0)),"Check ID"))</f>
        <v/>
      </c>
      <c r="L140" s="7"/>
      <c r="M140" s="10" t="str">
        <f>IF(J140="","",IFERROR(INDEX(Products!$E$5:$E$89,MATCH(J140,Products!$A$5:$A$89,0)),0))</f>
        <v/>
      </c>
      <c r="N140" s="11" t="str">
        <f>IF(L140="","",IFERROR(VLOOKUP(L140,'Discount Slabs'!$A$5:$B$9,2,TRUE()),0))</f>
        <v/>
      </c>
      <c r="O140" s="12"/>
      <c r="P140" s="10" t="str">
        <f t="shared" si="12"/>
        <v/>
      </c>
      <c r="Q140" s="10" t="str">
        <f t="shared" si="13"/>
        <v/>
      </c>
      <c r="R140" s="13"/>
      <c r="S140" s="10" t="str">
        <f t="shared" si="14"/>
        <v/>
      </c>
      <c r="T140" s="8"/>
      <c r="U140" s="7"/>
      <c r="V140" s="13"/>
      <c r="W140" s="9" t="str">
        <f t="shared" si="15"/>
        <v/>
      </c>
      <c r="X140" s="10" t="str">
        <f t="shared" si="16"/>
        <v/>
      </c>
      <c r="Y140" s="8"/>
      <c r="Z140" s="7"/>
      <c r="AA140" s="7"/>
      <c r="AB140" s="7"/>
      <c r="AC140" t="str">
        <f t="shared" si="17"/>
        <v/>
      </c>
    </row>
    <row r="141" spans="1:29" x14ac:dyDescent="0.3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9" t="str">
        <f>IF(J141="","",IFERROR(INDEX(Products!$B$5:$B$89,MATCH(J141,Products!$A$5:$A$89,0)),"Check ID"))</f>
        <v/>
      </c>
      <c r="L141" s="7"/>
      <c r="M141" s="10" t="str">
        <f>IF(J141="","",IFERROR(INDEX(Products!$E$5:$E$89,MATCH(J141,Products!$A$5:$A$89,0)),0))</f>
        <v/>
      </c>
      <c r="N141" s="11" t="str">
        <f>IF(L141="","",IFERROR(VLOOKUP(L141,'Discount Slabs'!$A$5:$B$9,2,TRUE()),0))</f>
        <v/>
      </c>
      <c r="O141" s="12"/>
      <c r="P141" s="10" t="str">
        <f t="shared" si="12"/>
        <v/>
      </c>
      <c r="Q141" s="10" t="str">
        <f t="shared" si="13"/>
        <v/>
      </c>
      <c r="R141" s="13"/>
      <c r="S141" s="10" t="str">
        <f t="shared" si="14"/>
        <v/>
      </c>
      <c r="T141" s="8"/>
      <c r="U141" s="7"/>
      <c r="V141" s="13"/>
      <c r="W141" s="9" t="str">
        <f t="shared" si="15"/>
        <v/>
      </c>
      <c r="X141" s="10" t="str">
        <f t="shared" si="16"/>
        <v/>
      </c>
      <c r="Y141" s="8"/>
      <c r="Z141" s="7"/>
      <c r="AA141" s="7"/>
      <c r="AB141" s="7"/>
      <c r="AC141" t="str">
        <f t="shared" si="17"/>
        <v/>
      </c>
    </row>
    <row r="142" spans="1:29" x14ac:dyDescent="0.3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9" t="str">
        <f>IF(J142="","",IFERROR(INDEX(Products!$B$5:$B$89,MATCH(J142,Products!$A$5:$A$89,0)),"Check ID"))</f>
        <v/>
      </c>
      <c r="L142" s="7"/>
      <c r="M142" s="10" t="str">
        <f>IF(J142="","",IFERROR(INDEX(Products!$E$5:$E$89,MATCH(J142,Products!$A$5:$A$89,0)),0))</f>
        <v/>
      </c>
      <c r="N142" s="11" t="str">
        <f>IF(L142="","",IFERROR(VLOOKUP(L142,'Discount Slabs'!$A$5:$B$9,2,TRUE()),0))</f>
        <v/>
      </c>
      <c r="O142" s="12"/>
      <c r="P142" s="10" t="str">
        <f t="shared" si="12"/>
        <v/>
      </c>
      <c r="Q142" s="10" t="str">
        <f t="shared" si="13"/>
        <v/>
      </c>
      <c r="R142" s="13"/>
      <c r="S142" s="10" t="str">
        <f t="shared" si="14"/>
        <v/>
      </c>
      <c r="T142" s="8"/>
      <c r="U142" s="7"/>
      <c r="V142" s="13"/>
      <c r="W142" s="9" t="str">
        <f t="shared" si="15"/>
        <v/>
      </c>
      <c r="X142" s="10" t="str">
        <f t="shared" si="16"/>
        <v/>
      </c>
      <c r="Y142" s="8"/>
      <c r="Z142" s="7"/>
      <c r="AA142" s="7"/>
      <c r="AB142" s="7"/>
      <c r="AC142" t="str">
        <f t="shared" si="17"/>
        <v/>
      </c>
    </row>
    <row r="143" spans="1:29" x14ac:dyDescent="0.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9" t="str">
        <f>IF(J143="","",IFERROR(INDEX(Products!$B$5:$B$89,MATCH(J143,Products!$A$5:$A$89,0)),"Check ID"))</f>
        <v/>
      </c>
      <c r="L143" s="7"/>
      <c r="M143" s="10" t="str">
        <f>IF(J143="","",IFERROR(INDEX(Products!$E$5:$E$89,MATCH(J143,Products!$A$5:$A$89,0)),0))</f>
        <v/>
      </c>
      <c r="N143" s="11" t="str">
        <f>IF(L143="","",IFERROR(VLOOKUP(L143,'Discount Slabs'!$A$5:$B$9,2,TRUE()),0))</f>
        <v/>
      </c>
      <c r="O143" s="12"/>
      <c r="P143" s="10" t="str">
        <f t="shared" si="12"/>
        <v/>
      </c>
      <c r="Q143" s="10" t="str">
        <f t="shared" si="13"/>
        <v/>
      </c>
      <c r="R143" s="13"/>
      <c r="S143" s="10" t="str">
        <f t="shared" si="14"/>
        <v/>
      </c>
      <c r="T143" s="8"/>
      <c r="U143" s="7"/>
      <c r="V143" s="13"/>
      <c r="W143" s="9" t="str">
        <f t="shared" si="15"/>
        <v/>
      </c>
      <c r="X143" s="10" t="str">
        <f t="shared" si="16"/>
        <v/>
      </c>
      <c r="Y143" s="8"/>
      <c r="Z143" s="7"/>
      <c r="AA143" s="7"/>
      <c r="AB143" s="7"/>
      <c r="AC143" t="str">
        <f t="shared" si="17"/>
        <v/>
      </c>
    </row>
    <row r="144" spans="1:29" x14ac:dyDescent="0.3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9" t="str">
        <f>IF(J144="","",IFERROR(INDEX(Products!$B$5:$B$89,MATCH(J144,Products!$A$5:$A$89,0)),"Check ID"))</f>
        <v/>
      </c>
      <c r="L144" s="7"/>
      <c r="M144" s="10" t="str">
        <f>IF(J144="","",IFERROR(INDEX(Products!$E$5:$E$89,MATCH(J144,Products!$A$5:$A$89,0)),0))</f>
        <v/>
      </c>
      <c r="N144" s="11" t="str">
        <f>IF(L144="","",IFERROR(VLOOKUP(L144,'Discount Slabs'!$A$5:$B$9,2,TRUE()),0))</f>
        <v/>
      </c>
      <c r="O144" s="12"/>
      <c r="P144" s="10" t="str">
        <f t="shared" si="12"/>
        <v/>
      </c>
      <c r="Q144" s="10" t="str">
        <f t="shared" si="13"/>
        <v/>
      </c>
      <c r="R144" s="13"/>
      <c r="S144" s="10" t="str">
        <f t="shared" si="14"/>
        <v/>
      </c>
      <c r="T144" s="8"/>
      <c r="U144" s="7"/>
      <c r="V144" s="13"/>
      <c r="W144" s="9" t="str">
        <f t="shared" si="15"/>
        <v/>
      </c>
      <c r="X144" s="10" t="str">
        <f t="shared" si="16"/>
        <v/>
      </c>
      <c r="Y144" s="8"/>
      <c r="Z144" s="7"/>
      <c r="AA144" s="7"/>
      <c r="AB144" s="7"/>
      <c r="AC144" t="str">
        <f t="shared" si="17"/>
        <v/>
      </c>
    </row>
    <row r="145" spans="1:29" x14ac:dyDescent="0.3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9" t="str">
        <f>IF(J145="","",IFERROR(INDEX(Products!$B$5:$B$89,MATCH(J145,Products!$A$5:$A$89,0)),"Check ID"))</f>
        <v/>
      </c>
      <c r="L145" s="7"/>
      <c r="M145" s="10" t="str">
        <f>IF(J145="","",IFERROR(INDEX(Products!$E$5:$E$89,MATCH(J145,Products!$A$5:$A$89,0)),0))</f>
        <v/>
      </c>
      <c r="N145" s="11" t="str">
        <f>IF(L145="","",IFERROR(VLOOKUP(L145,'Discount Slabs'!$A$5:$B$9,2,TRUE()),0))</f>
        <v/>
      </c>
      <c r="O145" s="12"/>
      <c r="P145" s="10" t="str">
        <f t="shared" si="12"/>
        <v/>
      </c>
      <c r="Q145" s="10" t="str">
        <f t="shared" si="13"/>
        <v/>
      </c>
      <c r="R145" s="13"/>
      <c r="S145" s="10" t="str">
        <f t="shared" si="14"/>
        <v/>
      </c>
      <c r="T145" s="8"/>
      <c r="U145" s="7"/>
      <c r="V145" s="13"/>
      <c r="W145" s="9" t="str">
        <f t="shared" si="15"/>
        <v/>
      </c>
      <c r="X145" s="10" t="str">
        <f t="shared" si="16"/>
        <v/>
      </c>
      <c r="Y145" s="8"/>
      <c r="Z145" s="7"/>
      <c r="AA145" s="7"/>
      <c r="AB145" s="7"/>
      <c r="AC145" t="str">
        <f t="shared" si="17"/>
        <v/>
      </c>
    </row>
    <row r="146" spans="1:29" x14ac:dyDescent="0.3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9" t="str">
        <f>IF(J146="","",IFERROR(INDEX(Products!$B$5:$B$89,MATCH(J146,Products!$A$5:$A$89,0)),"Check ID"))</f>
        <v/>
      </c>
      <c r="L146" s="7"/>
      <c r="M146" s="10" t="str">
        <f>IF(J146="","",IFERROR(INDEX(Products!$E$5:$E$89,MATCH(J146,Products!$A$5:$A$89,0)),0))</f>
        <v/>
      </c>
      <c r="N146" s="11" t="str">
        <f>IF(L146="","",IFERROR(VLOOKUP(L146,'Discount Slabs'!$A$5:$B$9,2,TRUE()),0))</f>
        <v/>
      </c>
      <c r="O146" s="12"/>
      <c r="P146" s="10" t="str">
        <f t="shared" si="12"/>
        <v/>
      </c>
      <c r="Q146" s="10" t="str">
        <f t="shared" si="13"/>
        <v/>
      </c>
      <c r="R146" s="13"/>
      <c r="S146" s="10" t="str">
        <f t="shared" si="14"/>
        <v/>
      </c>
      <c r="T146" s="8"/>
      <c r="U146" s="7"/>
      <c r="V146" s="13"/>
      <c r="W146" s="9" t="str">
        <f t="shared" si="15"/>
        <v/>
      </c>
      <c r="X146" s="10" t="str">
        <f t="shared" si="16"/>
        <v/>
      </c>
      <c r="Y146" s="8"/>
      <c r="Z146" s="7"/>
      <c r="AA146" s="7"/>
      <c r="AB146" s="7"/>
      <c r="AC146" t="str">
        <f t="shared" si="17"/>
        <v/>
      </c>
    </row>
    <row r="147" spans="1:29" x14ac:dyDescent="0.3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9" t="str">
        <f>IF(J147="","",IFERROR(INDEX(Products!$B$5:$B$89,MATCH(J147,Products!$A$5:$A$89,0)),"Check ID"))</f>
        <v/>
      </c>
      <c r="L147" s="7"/>
      <c r="M147" s="10" t="str">
        <f>IF(J147="","",IFERROR(INDEX(Products!$E$5:$E$89,MATCH(J147,Products!$A$5:$A$89,0)),0))</f>
        <v/>
      </c>
      <c r="N147" s="11" t="str">
        <f>IF(L147="","",IFERROR(VLOOKUP(L147,'Discount Slabs'!$A$5:$B$9,2,TRUE()),0))</f>
        <v/>
      </c>
      <c r="O147" s="12"/>
      <c r="P147" s="10" t="str">
        <f t="shared" si="12"/>
        <v/>
      </c>
      <c r="Q147" s="10" t="str">
        <f t="shared" si="13"/>
        <v/>
      </c>
      <c r="R147" s="13"/>
      <c r="S147" s="10" t="str">
        <f t="shared" si="14"/>
        <v/>
      </c>
      <c r="T147" s="8"/>
      <c r="U147" s="7"/>
      <c r="V147" s="13"/>
      <c r="W147" s="9" t="str">
        <f t="shared" si="15"/>
        <v/>
      </c>
      <c r="X147" s="10" t="str">
        <f t="shared" si="16"/>
        <v/>
      </c>
      <c r="Y147" s="8"/>
      <c r="Z147" s="7"/>
      <c r="AA147" s="7"/>
      <c r="AB147" s="7"/>
      <c r="AC147" t="str">
        <f t="shared" si="17"/>
        <v/>
      </c>
    </row>
    <row r="148" spans="1:29" x14ac:dyDescent="0.3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9" t="str">
        <f>IF(J148="","",IFERROR(INDEX(Products!$B$5:$B$89,MATCH(J148,Products!$A$5:$A$89,0)),"Check ID"))</f>
        <v/>
      </c>
      <c r="L148" s="7"/>
      <c r="M148" s="10" t="str">
        <f>IF(J148="","",IFERROR(INDEX(Products!$E$5:$E$89,MATCH(J148,Products!$A$5:$A$89,0)),0))</f>
        <v/>
      </c>
      <c r="N148" s="11" t="str">
        <f>IF(L148="","",IFERROR(VLOOKUP(L148,'Discount Slabs'!$A$5:$B$9,2,TRUE()),0))</f>
        <v/>
      </c>
      <c r="O148" s="12"/>
      <c r="P148" s="10" t="str">
        <f t="shared" si="12"/>
        <v/>
      </c>
      <c r="Q148" s="10" t="str">
        <f t="shared" si="13"/>
        <v/>
      </c>
      <c r="R148" s="13"/>
      <c r="S148" s="10" t="str">
        <f t="shared" si="14"/>
        <v/>
      </c>
      <c r="T148" s="8"/>
      <c r="U148" s="7"/>
      <c r="V148" s="13"/>
      <c r="W148" s="9" t="str">
        <f t="shared" si="15"/>
        <v/>
      </c>
      <c r="X148" s="10" t="str">
        <f t="shared" si="16"/>
        <v/>
      </c>
      <c r="Y148" s="8"/>
      <c r="Z148" s="7"/>
      <c r="AA148" s="7"/>
      <c r="AB148" s="7"/>
      <c r="AC148" t="str">
        <f t="shared" si="17"/>
        <v/>
      </c>
    </row>
    <row r="149" spans="1:29" x14ac:dyDescent="0.3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9" t="str">
        <f>IF(J149="","",IFERROR(INDEX(Products!$B$5:$B$89,MATCH(J149,Products!$A$5:$A$89,0)),"Check ID"))</f>
        <v/>
      </c>
      <c r="L149" s="7"/>
      <c r="M149" s="10" t="str">
        <f>IF(J149="","",IFERROR(INDEX(Products!$E$5:$E$89,MATCH(J149,Products!$A$5:$A$89,0)),0))</f>
        <v/>
      </c>
      <c r="N149" s="11" t="str">
        <f>IF(L149="","",IFERROR(VLOOKUP(L149,'Discount Slabs'!$A$5:$B$9,2,TRUE()),0))</f>
        <v/>
      </c>
      <c r="O149" s="12"/>
      <c r="P149" s="10" t="str">
        <f t="shared" si="12"/>
        <v/>
      </c>
      <c r="Q149" s="10" t="str">
        <f t="shared" si="13"/>
        <v/>
      </c>
      <c r="R149" s="13"/>
      <c r="S149" s="10" t="str">
        <f t="shared" si="14"/>
        <v/>
      </c>
      <c r="T149" s="8"/>
      <c r="U149" s="7"/>
      <c r="V149" s="13"/>
      <c r="W149" s="9" t="str">
        <f t="shared" si="15"/>
        <v/>
      </c>
      <c r="X149" s="10" t="str">
        <f t="shared" si="16"/>
        <v/>
      </c>
      <c r="Y149" s="8"/>
      <c r="Z149" s="7"/>
      <c r="AA149" s="7"/>
      <c r="AB149" s="7"/>
      <c r="AC149" t="str">
        <f t="shared" si="17"/>
        <v/>
      </c>
    </row>
    <row r="150" spans="1:29" x14ac:dyDescent="0.3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9" t="str">
        <f>IF(J150="","",IFERROR(INDEX(Products!$B$5:$B$89,MATCH(J150,Products!$A$5:$A$89,0)),"Check ID"))</f>
        <v/>
      </c>
      <c r="L150" s="7"/>
      <c r="M150" s="10" t="str">
        <f>IF(J150="","",IFERROR(INDEX(Products!$E$5:$E$89,MATCH(J150,Products!$A$5:$A$89,0)),0))</f>
        <v/>
      </c>
      <c r="N150" s="11" t="str">
        <f>IF(L150="","",IFERROR(VLOOKUP(L150,'Discount Slabs'!$A$5:$B$9,2,TRUE()),0))</f>
        <v/>
      </c>
      <c r="O150" s="12"/>
      <c r="P150" s="10" t="str">
        <f t="shared" si="12"/>
        <v/>
      </c>
      <c r="Q150" s="10" t="str">
        <f t="shared" si="13"/>
        <v/>
      </c>
      <c r="R150" s="13"/>
      <c r="S150" s="10" t="str">
        <f t="shared" si="14"/>
        <v/>
      </c>
      <c r="T150" s="8"/>
      <c r="U150" s="7"/>
      <c r="V150" s="13"/>
      <c r="W150" s="9" t="str">
        <f t="shared" si="15"/>
        <v/>
      </c>
      <c r="X150" s="10" t="str">
        <f t="shared" si="16"/>
        <v/>
      </c>
      <c r="Y150" s="8"/>
      <c r="Z150" s="7"/>
      <c r="AA150" s="7"/>
      <c r="AB150" s="7"/>
      <c r="AC150" t="str">
        <f t="shared" si="17"/>
        <v/>
      </c>
    </row>
    <row r="151" spans="1:29" x14ac:dyDescent="0.3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9" t="str">
        <f>IF(J151="","",IFERROR(INDEX(Products!$B$5:$B$89,MATCH(J151,Products!$A$5:$A$89,0)),"Check ID"))</f>
        <v/>
      </c>
      <c r="L151" s="7"/>
      <c r="M151" s="10" t="str">
        <f>IF(J151="","",IFERROR(INDEX(Products!$E$5:$E$89,MATCH(J151,Products!$A$5:$A$89,0)),0))</f>
        <v/>
      </c>
      <c r="N151" s="11" t="str">
        <f>IF(L151="","",IFERROR(VLOOKUP(L151,'Discount Slabs'!$A$5:$B$9,2,TRUE()),0))</f>
        <v/>
      </c>
      <c r="O151" s="12"/>
      <c r="P151" s="10" t="str">
        <f t="shared" si="12"/>
        <v/>
      </c>
      <c r="Q151" s="10" t="str">
        <f t="shared" si="13"/>
        <v/>
      </c>
      <c r="R151" s="13"/>
      <c r="S151" s="10" t="str">
        <f t="shared" si="14"/>
        <v/>
      </c>
      <c r="T151" s="8"/>
      <c r="U151" s="7"/>
      <c r="V151" s="13"/>
      <c r="W151" s="9" t="str">
        <f t="shared" si="15"/>
        <v/>
      </c>
      <c r="X151" s="10" t="str">
        <f t="shared" si="16"/>
        <v/>
      </c>
      <c r="Y151" s="8"/>
      <c r="Z151" s="7"/>
      <c r="AA151" s="7"/>
      <c r="AB151" s="7"/>
      <c r="AC151" t="str">
        <f t="shared" si="17"/>
        <v/>
      </c>
    </row>
    <row r="152" spans="1:29" x14ac:dyDescent="0.3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9" t="str">
        <f>IF(J152="","",IFERROR(INDEX(Products!$B$5:$B$89,MATCH(J152,Products!$A$5:$A$89,0)),"Check ID"))</f>
        <v/>
      </c>
      <c r="L152" s="7"/>
      <c r="M152" s="10" t="str">
        <f>IF(J152="","",IFERROR(INDEX(Products!$E$5:$E$89,MATCH(J152,Products!$A$5:$A$89,0)),0))</f>
        <v/>
      </c>
      <c r="N152" s="11" t="str">
        <f>IF(L152="","",IFERROR(VLOOKUP(L152,'Discount Slabs'!$A$5:$B$9,2,TRUE()),0))</f>
        <v/>
      </c>
      <c r="O152" s="12"/>
      <c r="P152" s="10" t="str">
        <f t="shared" si="12"/>
        <v/>
      </c>
      <c r="Q152" s="10" t="str">
        <f t="shared" si="13"/>
        <v/>
      </c>
      <c r="R152" s="13"/>
      <c r="S152" s="10" t="str">
        <f t="shared" si="14"/>
        <v/>
      </c>
      <c r="T152" s="8"/>
      <c r="U152" s="7"/>
      <c r="V152" s="13"/>
      <c r="W152" s="9" t="str">
        <f t="shared" si="15"/>
        <v/>
      </c>
      <c r="X152" s="10" t="str">
        <f t="shared" si="16"/>
        <v/>
      </c>
      <c r="Y152" s="8"/>
      <c r="Z152" s="7"/>
      <c r="AA152" s="7"/>
      <c r="AB152" s="7"/>
      <c r="AC152" t="str">
        <f t="shared" si="17"/>
        <v/>
      </c>
    </row>
    <row r="153" spans="1:29" x14ac:dyDescent="0.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9" t="str">
        <f>IF(J153="","",IFERROR(INDEX(Products!$B$5:$B$89,MATCH(J153,Products!$A$5:$A$89,0)),"Check ID"))</f>
        <v/>
      </c>
      <c r="L153" s="7"/>
      <c r="M153" s="10" t="str">
        <f>IF(J153="","",IFERROR(INDEX(Products!$E$5:$E$89,MATCH(J153,Products!$A$5:$A$89,0)),0))</f>
        <v/>
      </c>
      <c r="N153" s="11" t="str">
        <f>IF(L153="","",IFERROR(VLOOKUP(L153,'Discount Slabs'!$A$5:$B$9,2,TRUE()),0))</f>
        <v/>
      </c>
      <c r="O153" s="12"/>
      <c r="P153" s="10" t="str">
        <f t="shared" si="12"/>
        <v/>
      </c>
      <c r="Q153" s="10" t="str">
        <f t="shared" si="13"/>
        <v/>
      </c>
      <c r="R153" s="13"/>
      <c r="S153" s="10" t="str">
        <f t="shared" si="14"/>
        <v/>
      </c>
      <c r="T153" s="8"/>
      <c r="U153" s="7"/>
      <c r="V153" s="13"/>
      <c r="W153" s="9" t="str">
        <f t="shared" si="15"/>
        <v/>
      </c>
      <c r="X153" s="10" t="str">
        <f t="shared" si="16"/>
        <v/>
      </c>
      <c r="Y153" s="8"/>
      <c r="Z153" s="7"/>
      <c r="AA153" s="7"/>
      <c r="AB153" s="7"/>
      <c r="AC153" t="str">
        <f t="shared" si="17"/>
        <v/>
      </c>
    </row>
    <row r="154" spans="1:29" x14ac:dyDescent="0.3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9" t="str">
        <f>IF(J154="","",IFERROR(INDEX(Products!$B$5:$B$89,MATCH(J154,Products!$A$5:$A$89,0)),"Check ID"))</f>
        <v/>
      </c>
      <c r="L154" s="7"/>
      <c r="M154" s="10" t="str">
        <f>IF(J154="","",IFERROR(INDEX(Products!$E$5:$E$89,MATCH(J154,Products!$A$5:$A$89,0)),0))</f>
        <v/>
      </c>
      <c r="N154" s="11" t="str">
        <f>IF(L154="","",IFERROR(VLOOKUP(L154,'Discount Slabs'!$A$5:$B$9,2,TRUE()),0))</f>
        <v/>
      </c>
      <c r="O154" s="12"/>
      <c r="P154" s="10" t="str">
        <f t="shared" si="12"/>
        <v/>
      </c>
      <c r="Q154" s="10" t="str">
        <f t="shared" si="13"/>
        <v/>
      </c>
      <c r="R154" s="13"/>
      <c r="S154" s="10" t="str">
        <f t="shared" si="14"/>
        <v/>
      </c>
      <c r="T154" s="8"/>
      <c r="U154" s="7"/>
      <c r="V154" s="13"/>
      <c r="W154" s="9" t="str">
        <f t="shared" si="15"/>
        <v/>
      </c>
      <c r="X154" s="10" t="str">
        <f t="shared" si="16"/>
        <v/>
      </c>
      <c r="Y154" s="8"/>
      <c r="Z154" s="7"/>
      <c r="AA154" s="7"/>
      <c r="AB154" s="7"/>
      <c r="AC154" t="str">
        <f t="shared" si="17"/>
        <v/>
      </c>
    </row>
    <row r="155" spans="1:29" x14ac:dyDescent="0.3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9" t="str">
        <f>IF(J155="","",IFERROR(INDEX(Products!$B$5:$B$89,MATCH(J155,Products!$A$5:$A$89,0)),"Check ID"))</f>
        <v/>
      </c>
      <c r="L155" s="7"/>
      <c r="M155" s="10" t="str">
        <f>IF(J155="","",IFERROR(INDEX(Products!$E$5:$E$89,MATCH(J155,Products!$A$5:$A$89,0)),0))</f>
        <v/>
      </c>
      <c r="N155" s="11" t="str">
        <f>IF(L155="","",IFERROR(VLOOKUP(L155,'Discount Slabs'!$A$5:$B$9,2,TRUE()),0))</f>
        <v/>
      </c>
      <c r="O155" s="12"/>
      <c r="P155" s="10" t="str">
        <f t="shared" si="12"/>
        <v/>
      </c>
      <c r="Q155" s="10" t="str">
        <f t="shared" si="13"/>
        <v/>
      </c>
      <c r="R155" s="13"/>
      <c r="S155" s="10" t="str">
        <f t="shared" si="14"/>
        <v/>
      </c>
      <c r="T155" s="8"/>
      <c r="U155" s="7"/>
      <c r="V155" s="13"/>
      <c r="W155" s="9" t="str">
        <f t="shared" si="15"/>
        <v/>
      </c>
      <c r="X155" s="10" t="str">
        <f t="shared" si="16"/>
        <v/>
      </c>
      <c r="Y155" s="8"/>
      <c r="Z155" s="7"/>
      <c r="AA155" s="7"/>
      <c r="AB155" s="7"/>
      <c r="AC155" t="str">
        <f t="shared" si="17"/>
        <v/>
      </c>
    </row>
    <row r="156" spans="1:29" x14ac:dyDescent="0.3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9" t="str">
        <f>IF(J156="","",IFERROR(INDEX(Products!$B$5:$B$89,MATCH(J156,Products!$A$5:$A$89,0)),"Check ID"))</f>
        <v/>
      </c>
      <c r="L156" s="7"/>
      <c r="M156" s="10" t="str">
        <f>IF(J156="","",IFERROR(INDEX(Products!$E$5:$E$89,MATCH(J156,Products!$A$5:$A$89,0)),0))</f>
        <v/>
      </c>
      <c r="N156" s="11" t="str">
        <f>IF(L156="","",IFERROR(VLOOKUP(L156,'Discount Slabs'!$A$5:$B$9,2,TRUE()),0))</f>
        <v/>
      </c>
      <c r="O156" s="12"/>
      <c r="P156" s="10" t="str">
        <f t="shared" si="12"/>
        <v/>
      </c>
      <c r="Q156" s="10" t="str">
        <f t="shared" si="13"/>
        <v/>
      </c>
      <c r="R156" s="13"/>
      <c r="S156" s="10" t="str">
        <f t="shared" si="14"/>
        <v/>
      </c>
      <c r="T156" s="8"/>
      <c r="U156" s="7"/>
      <c r="V156" s="13"/>
      <c r="W156" s="9" t="str">
        <f t="shared" si="15"/>
        <v/>
      </c>
      <c r="X156" s="10" t="str">
        <f t="shared" si="16"/>
        <v/>
      </c>
      <c r="Y156" s="8"/>
      <c r="Z156" s="7"/>
      <c r="AA156" s="7"/>
      <c r="AB156" s="7"/>
      <c r="AC156" t="str">
        <f t="shared" si="17"/>
        <v/>
      </c>
    </row>
    <row r="157" spans="1:29" x14ac:dyDescent="0.3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9" t="str">
        <f>IF(J157="","",IFERROR(INDEX(Products!$B$5:$B$89,MATCH(J157,Products!$A$5:$A$89,0)),"Check ID"))</f>
        <v/>
      </c>
      <c r="L157" s="7"/>
      <c r="M157" s="10" t="str">
        <f>IF(J157="","",IFERROR(INDEX(Products!$E$5:$E$89,MATCH(J157,Products!$A$5:$A$89,0)),0))</f>
        <v/>
      </c>
      <c r="N157" s="11" t="str">
        <f>IF(L157="","",IFERROR(VLOOKUP(L157,'Discount Slabs'!$A$5:$B$9,2,TRUE()),0))</f>
        <v/>
      </c>
      <c r="O157" s="12"/>
      <c r="P157" s="10" t="str">
        <f t="shared" si="12"/>
        <v/>
      </c>
      <c r="Q157" s="10" t="str">
        <f t="shared" si="13"/>
        <v/>
      </c>
      <c r="R157" s="13"/>
      <c r="S157" s="10" t="str">
        <f t="shared" si="14"/>
        <v/>
      </c>
      <c r="T157" s="8"/>
      <c r="U157" s="7"/>
      <c r="V157" s="13"/>
      <c r="W157" s="9" t="str">
        <f t="shared" si="15"/>
        <v/>
      </c>
      <c r="X157" s="10" t="str">
        <f t="shared" si="16"/>
        <v/>
      </c>
      <c r="Y157" s="8"/>
      <c r="Z157" s="7"/>
      <c r="AA157" s="7"/>
      <c r="AB157" s="7"/>
      <c r="AC157" t="str">
        <f t="shared" si="17"/>
        <v/>
      </c>
    </row>
    <row r="158" spans="1:29" x14ac:dyDescent="0.3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9" t="str">
        <f>IF(J158="","",IFERROR(INDEX(Products!$B$5:$B$89,MATCH(J158,Products!$A$5:$A$89,0)),"Check ID"))</f>
        <v/>
      </c>
      <c r="L158" s="7"/>
      <c r="M158" s="10" t="str">
        <f>IF(J158="","",IFERROR(INDEX(Products!$E$5:$E$89,MATCH(J158,Products!$A$5:$A$89,0)),0))</f>
        <v/>
      </c>
      <c r="N158" s="11" t="str">
        <f>IF(L158="","",IFERROR(VLOOKUP(L158,'Discount Slabs'!$A$5:$B$9,2,TRUE()),0))</f>
        <v/>
      </c>
      <c r="O158" s="12"/>
      <c r="P158" s="10" t="str">
        <f t="shared" si="12"/>
        <v/>
      </c>
      <c r="Q158" s="10" t="str">
        <f t="shared" si="13"/>
        <v/>
      </c>
      <c r="R158" s="13"/>
      <c r="S158" s="10" t="str">
        <f t="shared" si="14"/>
        <v/>
      </c>
      <c r="T158" s="8"/>
      <c r="U158" s="7"/>
      <c r="V158" s="13"/>
      <c r="W158" s="9" t="str">
        <f t="shared" si="15"/>
        <v/>
      </c>
      <c r="X158" s="10" t="str">
        <f t="shared" si="16"/>
        <v/>
      </c>
      <c r="Y158" s="8"/>
      <c r="Z158" s="7"/>
      <c r="AA158" s="7"/>
      <c r="AB158" s="7"/>
      <c r="AC158" t="str">
        <f t="shared" si="17"/>
        <v/>
      </c>
    </row>
    <row r="159" spans="1:29" x14ac:dyDescent="0.3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9" t="str">
        <f>IF(J159="","",IFERROR(INDEX(Products!$B$5:$B$89,MATCH(J159,Products!$A$5:$A$89,0)),"Check ID"))</f>
        <v/>
      </c>
      <c r="L159" s="7"/>
      <c r="M159" s="10" t="str">
        <f>IF(J159="","",IFERROR(INDEX(Products!$E$5:$E$89,MATCH(J159,Products!$A$5:$A$89,0)),0))</f>
        <v/>
      </c>
      <c r="N159" s="11" t="str">
        <f>IF(L159="","",IFERROR(VLOOKUP(L159,'Discount Slabs'!$A$5:$B$9,2,TRUE()),0))</f>
        <v/>
      </c>
      <c r="O159" s="12"/>
      <c r="P159" s="10" t="str">
        <f t="shared" si="12"/>
        <v/>
      </c>
      <c r="Q159" s="10" t="str">
        <f t="shared" si="13"/>
        <v/>
      </c>
      <c r="R159" s="13"/>
      <c r="S159" s="10" t="str">
        <f t="shared" si="14"/>
        <v/>
      </c>
      <c r="T159" s="8"/>
      <c r="U159" s="7"/>
      <c r="V159" s="13"/>
      <c r="W159" s="9" t="str">
        <f t="shared" si="15"/>
        <v/>
      </c>
      <c r="X159" s="10" t="str">
        <f t="shared" si="16"/>
        <v/>
      </c>
      <c r="Y159" s="8"/>
      <c r="Z159" s="7"/>
      <c r="AA159" s="7"/>
      <c r="AB159" s="7"/>
      <c r="AC159" t="str">
        <f t="shared" si="17"/>
        <v/>
      </c>
    </row>
    <row r="160" spans="1:29" x14ac:dyDescent="0.3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9" t="str">
        <f>IF(J160="","",IFERROR(INDEX(Products!$B$5:$B$89,MATCH(J160,Products!$A$5:$A$89,0)),"Check ID"))</f>
        <v/>
      </c>
      <c r="L160" s="7"/>
      <c r="M160" s="10" t="str">
        <f>IF(J160="","",IFERROR(INDEX(Products!$E$5:$E$89,MATCH(J160,Products!$A$5:$A$89,0)),0))</f>
        <v/>
      </c>
      <c r="N160" s="11" t="str">
        <f>IF(L160="","",IFERROR(VLOOKUP(L160,'Discount Slabs'!$A$5:$B$9,2,TRUE()),0))</f>
        <v/>
      </c>
      <c r="O160" s="12"/>
      <c r="P160" s="10" t="str">
        <f t="shared" si="12"/>
        <v/>
      </c>
      <c r="Q160" s="10" t="str">
        <f t="shared" si="13"/>
        <v/>
      </c>
      <c r="R160" s="13"/>
      <c r="S160" s="10" t="str">
        <f t="shared" si="14"/>
        <v/>
      </c>
      <c r="T160" s="8"/>
      <c r="U160" s="7"/>
      <c r="V160" s="13"/>
      <c r="W160" s="9" t="str">
        <f t="shared" si="15"/>
        <v/>
      </c>
      <c r="X160" s="10" t="str">
        <f t="shared" si="16"/>
        <v/>
      </c>
      <c r="Y160" s="8"/>
      <c r="Z160" s="7"/>
      <c r="AA160" s="7"/>
      <c r="AB160" s="7"/>
      <c r="AC160" t="str">
        <f t="shared" si="17"/>
        <v/>
      </c>
    </row>
    <row r="161" spans="1:29" x14ac:dyDescent="0.3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9" t="str">
        <f>IF(J161="","",IFERROR(INDEX(Products!$B$5:$B$89,MATCH(J161,Products!$A$5:$A$89,0)),"Check ID"))</f>
        <v/>
      </c>
      <c r="L161" s="7"/>
      <c r="M161" s="10" t="str">
        <f>IF(J161="","",IFERROR(INDEX(Products!$E$5:$E$89,MATCH(J161,Products!$A$5:$A$89,0)),0))</f>
        <v/>
      </c>
      <c r="N161" s="11" t="str">
        <f>IF(L161="","",IFERROR(VLOOKUP(L161,'Discount Slabs'!$A$5:$B$9,2,TRUE()),0))</f>
        <v/>
      </c>
      <c r="O161" s="12"/>
      <c r="P161" s="10" t="str">
        <f t="shared" si="12"/>
        <v/>
      </c>
      <c r="Q161" s="10" t="str">
        <f t="shared" si="13"/>
        <v/>
      </c>
      <c r="R161" s="13"/>
      <c r="S161" s="10" t="str">
        <f t="shared" si="14"/>
        <v/>
      </c>
      <c r="T161" s="8"/>
      <c r="U161" s="7"/>
      <c r="V161" s="13"/>
      <c r="W161" s="9" t="str">
        <f t="shared" si="15"/>
        <v/>
      </c>
      <c r="X161" s="10" t="str">
        <f t="shared" si="16"/>
        <v/>
      </c>
      <c r="Y161" s="8"/>
      <c r="Z161" s="7"/>
      <c r="AA161" s="7"/>
      <c r="AB161" s="7"/>
      <c r="AC161" t="str">
        <f t="shared" si="17"/>
        <v/>
      </c>
    </row>
    <row r="162" spans="1:29" x14ac:dyDescent="0.3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9" t="str">
        <f>IF(J162="","",IFERROR(INDEX(Products!$B$5:$B$89,MATCH(J162,Products!$A$5:$A$89,0)),"Check ID"))</f>
        <v/>
      </c>
      <c r="L162" s="7"/>
      <c r="M162" s="10" t="str">
        <f>IF(J162="","",IFERROR(INDEX(Products!$E$5:$E$89,MATCH(J162,Products!$A$5:$A$89,0)),0))</f>
        <v/>
      </c>
      <c r="N162" s="11" t="str">
        <f>IF(L162="","",IFERROR(VLOOKUP(L162,'Discount Slabs'!$A$5:$B$9,2,TRUE()),0))</f>
        <v/>
      </c>
      <c r="O162" s="12"/>
      <c r="P162" s="10" t="str">
        <f t="shared" si="12"/>
        <v/>
      </c>
      <c r="Q162" s="10" t="str">
        <f t="shared" si="13"/>
        <v/>
      </c>
      <c r="R162" s="13"/>
      <c r="S162" s="10" t="str">
        <f t="shared" si="14"/>
        <v/>
      </c>
      <c r="T162" s="8"/>
      <c r="U162" s="7"/>
      <c r="V162" s="13"/>
      <c r="W162" s="9" t="str">
        <f t="shared" si="15"/>
        <v/>
      </c>
      <c r="X162" s="10" t="str">
        <f t="shared" si="16"/>
        <v/>
      </c>
      <c r="Y162" s="8"/>
      <c r="Z162" s="7"/>
      <c r="AA162" s="7"/>
      <c r="AB162" s="7"/>
      <c r="AC162" t="str">
        <f t="shared" si="17"/>
        <v/>
      </c>
    </row>
    <row r="163" spans="1:29" x14ac:dyDescent="0.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9" t="str">
        <f>IF(J163="","",IFERROR(INDEX(Products!$B$5:$B$89,MATCH(J163,Products!$A$5:$A$89,0)),"Check ID"))</f>
        <v/>
      </c>
      <c r="L163" s="7"/>
      <c r="M163" s="10" t="str">
        <f>IF(J163="","",IFERROR(INDEX(Products!$E$5:$E$89,MATCH(J163,Products!$A$5:$A$89,0)),0))</f>
        <v/>
      </c>
      <c r="N163" s="11" t="str">
        <f>IF(L163="","",IFERROR(VLOOKUP(L163,'Discount Slabs'!$A$5:$B$9,2,TRUE()),0))</f>
        <v/>
      </c>
      <c r="O163" s="12"/>
      <c r="P163" s="10" t="str">
        <f t="shared" si="12"/>
        <v/>
      </c>
      <c r="Q163" s="10" t="str">
        <f t="shared" si="13"/>
        <v/>
      </c>
      <c r="R163" s="13"/>
      <c r="S163" s="10" t="str">
        <f t="shared" si="14"/>
        <v/>
      </c>
      <c r="T163" s="8"/>
      <c r="U163" s="7"/>
      <c r="V163" s="13"/>
      <c r="W163" s="9" t="str">
        <f t="shared" si="15"/>
        <v/>
      </c>
      <c r="X163" s="10" t="str">
        <f t="shared" si="16"/>
        <v/>
      </c>
      <c r="Y163" s="8"/>
      <c r="Z163" s="7"/>
      <c r="AA163" s="7"/>
      <c r="AB163" s="7"/>
      <c r="AC163" t="str">
        <f t="shared" si="17"/>
        <v/>
      </c>
    </row>
    <row r="164" spans="1:29" x14ac:dyDescent="0.3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9" t="str">
        <f>IF(J164="","",IFERROR(INDEX(Products!$B$5:$B$89,MATCH(J164,Products!$A$5:$A$89,0)),"Check ID"))</f>
        <v/>
      </c>
      <c r="L164" s="7"/>
      <c r="M164" s="10" t="str">
        <f>IF(J164="","",IFERROR(INDEX(Products!$E$5:$E$89,MATCH(J164,Products!$A$5:$A$89,0)),0))</f>
        <v/>
      </c>
      <c r="N164" s="11" t="str">
        <f>IF(L164="","",IFERROR(VLOOKUP(L164,'Discount Slabs'!$A$5:$B$9,2,TRUE()),0))</f>
        <v/>
      </c>
      <c r="O164" s="12"/>
      <c r="P164" s="10" t="str">
        <f t="shared" si="12"/>
        <v/>
      </c>
      <c r="Q164" s="10" t="str">
        <f t="shared" si="13"/>
        <v/>
      </c>
      <c r="R164" s="13"/>
      <c r="S164" s="10" t="str">
        <f t="shared" si="14"/>
        <v/>
      </c>
      <c r="T164" s="8"/>
      <c r="U164" s="7"/>
      <c r="V164" s="13"/>
      <c r="W164" s="9" t="str">
        <f t="shared" si="15"/>
        <v/>
      </c>
      <c r="X164" s="10" t="str">
        <f t="shared" si="16"/>
        <v/>
      </c>
      <c r="Y164" s="8"/>
      <c r="Z164" s="7"/>
      <c r="AA164" s="7"/>
      <c r="AB164" s="7"/>
      <c r="AC164" t="str">
        <f t="shared" si="17"/>
        <v/>
      </c>
    </row>
    <row r="165" spans="1:29" x14ac:dyDescent="0.3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9" t="str">
        <f>IF(J165="","",IFERROR(INDEX(Products!$B$5:$B$89,MATCH(J165,Products!$A$5:$A$89,0)),"Check ID"))</f>
        <v/>
      </c>
      <c r="L165" s="7"/>
      <c r="M165" s="10" t="str">
        <f>IF(J165="","",IFERROR(INDEX(Products!$E$5:$E$89,MATCH(J165,Products!$A$5:$A$89,0)),0))</f>
        <v/>
      </c>
      <c r="N165" s="11" t="str">
        <f>IF(L165="","",IFERROR(VLOOKUP(L165,'Discount Slabs'!$A$5:$B$9,2,TRUE()),0))</f>
        <v/>
      </c>
      <c r="O165" s="12"/>
      <c r="P165" s="10" t="str">
        <f t="shared" si="12"/>
        <v/>
      </c>
      <c r="Q165" s="10" t="str">
        <f t="shared" si="13"/>
        <v/>
      </c>
      <c r="R165" s="13"/>
      <c r="S165" s="10" t="str">
        <f t="shared" si="14"/>
        <v/>
      </c>
      <c r="T165" s="8"/>
      <c r="U165" s="7"/>
      <c r="V165" s="13"/>
      <c r="W165" s="9" t="str">
        <f t="shared" si="15"/>
        <v/>
      </c>
      <c r="X165" s="10" t="str">
        <f t="shared" si="16"/>
        <v/>
      </c>
      <c r="Y165" s="8"/>
      <c r="Z165" s="7"/>
      <c r="AA165" s="7"/>
      <c r="AB165" s="7"/>
      <c r="AC165" t="str">
        <f t="shared" si="17"/>
        <v/>
      </c>
    </row>
    <row r="166" spans="1:29" x14ac:dyDescent="0.3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9" t="str">
        <f>IF(J166="","",IFERROR(INDEX(Products!$B$5:$B$89,MATCH(J166,Products!$A$5:$A$89,0)),"Check ID"))</f>
        <v/>
      </c>
      <c r="L166" s="7"/>
      <c r="M166" s="10" t="str">
        <f>IF(J166="","",IFERROR(INDEX(Products!$E$5:$E$89,MATCH(J166,Products!$A$5:$A$89,0)),0))</f>
        <v/>
      </c>
      <c r="N166" s="11" t="str">
        <f>IF(L166="","",IFERROR(VLOOKUP(L166,'Discount Slabs'!$A$5:$B$9,2,TRUE()),0))</f>
        <v/>
      </c>
      <c r="O166" s="12"/>
      <c r="P166" s="10" t="str">
        <f t="shared" si="12"/>
        <v/>
      </c>
      <c r="Q166" s="10" t="str">
        <f t="shared" si="13"/>
        <v/>
      </c>
      <c r="R166" s="13"/>
      <c r="S166" s="10" t="str">
        <f t="shared" si="14"/>
        <v/>
      </c>
      <c r="T166" s="8"/>
      <c r="U166" s="7"/>
      <c r="V166" s="13"/>
      <c r="W166" s="9" t="str">
        <f t="shared" si="15"/>
        <v/>
      </c>
      <c r="X166" s="10" t="str">
        <f t="shared" si="16"/>
        <v/>
      </c>
      <c r="Y166" s="8"/>
      <c r="Z166" s="7"/>
      <c r="AA166" s="7"/>
      <c r="AB166" s="7"/>
      <c r="AC166" t="str">
        <f t="shared" si="17"/>
        <v/>
      </c>
    </row>
    <row r="167" spans="1:29" x14ac:dyDescent="0.3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9" t="str">
        <f>IF(J167="","",IFERROR(INDEX(Products!$B$5:$B$89,MATCH(J167,Products!$A$5:$A$89,0)),"Check ID"))</f>
        <v/>
      </c>
      <c r="L167" s="7"/>
      <c r="M167" s="10" t="str">
        <f>IF(J167="","",IFERROR(INDEX(Products!$E$5:$E$89,MATCH(J167,Products!$A$5:$A$89,0)),0))</f>
        <v/>
      </c>
      <c r="N167" s="11" t="str">
        <f>IF(L167="","",IFERROR(VLOOKUP(L167,'Discount Slabs'!$A$5:$B$9,2,TRUE()),0))</f>
        <v/>
      </c>
      <c r="O167" s="12"/>
      <c r="P167" s="10" t="str">
        <f t="shared" si="12"/>
        <v/>
      </c>
      <c r="Q167" s="10" t="str">
        <f t="shared" si="13"/>
        <v/>
      </c>
      <c r="R167" s="13"/>
      <c r="S167" s="10" t="str">
        <f t="shared" si="14"/>
        <v/>
      </c>
      <c r="T167" s="8"/>
      <c r="U167" s="7"/>
      <c r="V167" s="13"/>
      <c r="W167" s="9" t="str">
        <f t="shared" si="15"/>
        <v/>
      </c>
      <c r="X167" s="10" t="str">
        <f t="shared" si="16"/>
        <v/>
      </c>
      <c r="Y167" s="8"/>
      <c r="Z167" s="7"/>
      <c r="AA167" s="7"/>
      <c r="AB167" s="7"/>
      <c r="AC167" t="str">
        <f t="shared" si="17"/>
        <v/>
      </c>
    </row>
    <row r="168" spans="1:29" x14ac:dyDescent="0.3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9" t="str">
        <f>IF(J168="","",IFERROR(INDEX(Products!$B$5:$B$89,MATCH(J168,Products!$A$5:$A$89,0)),"Check ID"))</f>
        <v/>
      </c>
      <c r="L168" s="7"/>
      <c r="M168" s="10" t="str">
        <f>IF(J168="","",IFERROR(INDEX(Products!$E$5:$E$89,MATCH(J168,Products!$A$5:$A$89,0)),0))</f>
        <v/>
      </c>
      <c r="N168" s="11" t="str">
        <f>IF(L168="","",IFERROR(VLOOKUP(L168,'Discount Slabs'!$A$5:$B$9,2,TRUE()),0))</f>
        <v/>
      </c>
      <c r="O168" s="12"/>
      <c r="P168" s="10" t="str">
        <f t="shared" si="12"/>
        <v/>
      </c>
      <c r="Q168" s="10" t="str">
        <f t="shared" si="13"/>
        <v/>
      </c>
      <c r="R168" s="13"/>
      <c r="S168" s="10" t="str">
        <f t="shared" si="14"/>
        <v/>
      </c>
      <c r="T168" s="8"/>
      <c r="U168" s="7"/>
      <c r="V168" s="13"/>
      <c r="W168" s="9" t="str">
        <f t="shared" si="15"/>
        <v/>
      </c>
      <c r="X168" s="10" t="str">
        <f t="shared" si="16"/>
        <v/>
      </c>
      <c r="Y168" s="8"/>
      <c r="Z168" s="7"/>
      <c r="AA168" s="7"/>
      <c r="AB168" s="7"/>
      <c r="AC168" t="str">
        <f t="shared" si="17"/>
        <v/>
      </c>
    </row>
    <row r="169" spans="1:29" x14ac:dyDescent="0.3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9" t="str">
        <f>IF(J169="","",IFERROR(INDEX(Products!$B$5:$B$89,MATCH(J169,Products!$A$5:$A$89,0)),"Check ID"))</f>
        <v/>
      </c>
      <c r="L169" s="7"/>
      <c r="M169" s="10" t="str">
        <f>IF(J169="","",IFERROR(INDEX(Products!$E$5:$E$89,MATCH(J169,Products!$A$5:$A$89,0)),0))</f>
        <v/>
      </c>
      <c r="N169" s="11" t="str">
        <f>IF(L169="","",IFERROR(VLOOKUP(L169,'Discount Slabs'!$A$5:$B$9,2,TRUE()),0))</f>
        <v/>
      </c>
      <c r="O169" s="12"/>
      <c r="P169" s="10" t="str">
        <f t="shared" si="12"/>
        <v/>
      </c>
      <c r="Q169" s="10" t="str">
        <f t="shared" si="13"/>
        <v/>
      </c>
      <c r="R169" s="13"/>
      <c r="S169" s="10" t="str">
        <f t="shared" si="14"/>
        <v/>
      </c>
      <c r="T169" s="8"/>
      <c r="U169" s="7"/>
      <c r="V169" s="13"/>
      <c r="W169" s="9" t="str">
        <f t="shared" si="15"/>
        <v/>
      </c>
      <c r="X169" s="10" t="str">
        <f t="shared" si="16"/>
        <v/>
      </c>
      <c r="Y169" s="8"/>
      <c r="Z169" s="7"/>
      <c r="AA169" s="7"/>
      <c r="AB169" s="7"/>
      <c r="AC169" t="str">
        <f t="shared" si="17"/>
        <v/>
      </c>
    </row>
    <row r="170" spans="1:29" x14ac:dyDescent="0.3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9" t="str">
        <f>IF(J170="","",IFERROR(INDEX(Products!$B$5:$B$89,MATCH(J170,Products!$A$5:$A$89,0)),"Check ID"))</f>
        <v/>
      </c>
      <c r="L170" s="7"/>
      <c r="M170" s="10" t="str">
        <f>IF(J170="","",IFERROR(INDEX(Products!$E$5:$E$89,MATCH(J170,Products!$A$5:$A$89,0)),0))</f>
        <v/>
      </c>
      <c r="N170" s="11" t="str">
        <f>IF(L170="","",IFERROR(VLOOKUP(L170,'Discount Slabs'!$A$5:$B$9,2,TRUE()),0))</f>
        <v/>
      </c>
      <c r="O170" s="12"/>
      <c r="P170" s="10" t="str">
        <f t="shared" si="12"/>
        <v/>
      </c>
      <c r="Q170" s="10" t="str">
        <f t="shared" si="13"/>
        <v/>
      </c>
      <c r="R170" s="13"/>
      <c r="S170" s="10" t="str">
        <f t="shared" si="14"/>
        <v/>
      </c>
      <c r="T170" s="8"/>
      <c r="U170" s="7"/>
      <c r="V170" s="13"/>
      <c r="W170" s="9" t="str">
        <f t="shared" si="15"/>
        <v/>
      </c>
      <c r="X170" s="10" t="str">
        <f t="shared" si="16"/>
        <v/>
      </c>
      <c r="Y170" s="8"/>
      <c r="Z170" s="7"/>
      <c r="AA170" s="7"/>
      <c r="AB170" s="7"/>
      <c r="AC170" t="str">
        <f t="shared" si="17"/>
        <v/>
      </c>
    </row>
    <row r="171" spans="1:29" x14ac:dyDescent="0.3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9" t="str">
        <f>IF(J171="","",IFERROR(INDEX(Products!$B$5:$B$89,MATCH(J171,Products!$A$5:$A$89,0)),"Check ID"))</f>
        <v/>
      </c>
      <c r="L171" s="7"/>
      <c r="M171" s="10" t="str">
        <f>IF(J171="","",IFERROR(INDEX(Products!$E$5:$E$89,MATCH(J171,Products!$A$5:$A$89,0)),0))</f>
        <v/>
      </c>
      <c r="N171" s="11" t="str">
        <f>IF(L171="","",IFERROR(VLOOKUP(L171,'Discount Slabs'!$A$5:$B$9,2,TRUE()),0))</f>
        <v/>
      </c>
      <c r="O171" s="12"/>
      <c r="P171" s="10" t="str">
        <f t="shared" si="12"/>
        <v/>
      </c>
      <c r="Q171" s="10" t="str">
        <f t="shared" si="13"/>
        <v/>
      </c>
      <c r="R171" s="13"/>
      <c r="S171" s="10" t="str">
        <f t="shared" si="14"/>
        <v/>
      </c>
      <c r="T171" s="8"/>
      <c r="U171" s="7"/>
      <c r="V171" s="13"/>
      <c r="W171" s="9" t="str">
        <f t="shared" si="15"/>
        <v/>
      </c>
      <c r="X171" s="10" t="str">
        <f t="shared" si="16"/>
        <v/>
      </c>
      <c r="Y171" s="8"/>
      <c r="Z171" s="7"/>
      <c r="AA171" s="7"/>
      <c r="AB171" s="7"/>
      <c r="AC171" t="str">
        <f t="shared" si="17"/>
        <v/>
      </c>
    </row>
    <row r="172" spans="1:29" x14ac:dyDescent="0.3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9" t="str">
        <f>IF(J172="","",IFERROR(INDEX(Products!$B$5:$B$89,MATCH(J172,Products!$A$5:$A$89,0)),"Check ID"))</f>
        <v/>
      </c>
      <c r="L172" s="7"/>
      <c r="M172" s="10" t="str">
        <f>IF(J172="","",IFERROR(INDEX(Products!$E$5:$E$89,MATCH(J172,Products!$A$5:$A$89,0)),0))</f>
        <v/>
      </c>
      <c r="N172" s="11" t="str">
        <f>IF(L172="","",IFERROR(VLOOKUP(L172,'Discount Slabs'!$A$5:$B$9,2,TRUE()),0))</f>
        <v/>
      </c>
      <c r="O172" s="12"/>
      <c r="P172" s="10" t="str">
        <f t="shared" si="12"/>
        <v/>
      </c>
      <c r="Q172" s="10" t="str">
        <f t="shared" si="13"/>
        <v/>
      </c>
      <c r="R172" s="13"/>
      <c r="S172" s="10" t="str">
        <f t="shared" si="14"/>
        <v/>
      </c>
      <c r="T172" s="8"/>
      <c r="U172" s="7"/>
      <c r="V172" s="13"/>
      <c r="W172" s="9" t="str">
        <f t="shared" si="15"/>
        <v/>
      </c>
      <c r="X172" s="10" t="str">
        <f t="shared" si="16"/>
        <v/>
      </c>
      <c r="Y172" s="8"/>
      <c r="Z172" s="7"/>
      <c r="AA172" s="7"/>
      <c r="AB172" s="7"/>
      <c r="AC172" t="str">
        <f t="shared" si="17"/>
        <v/>
      </c>
    </row>
    <row r="173" spans="1:29" x14ac:dyDescent="0.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9" t="str">
        <f>IF(J173="","",IFERROR(INDEX(Products!$B$5:$B$89,MATCH(J173,Products!$A$5:$A$89,0)),"Check ID"))</f>
        <v/>
      </c>
      <c r="L173" s="7"/>
      <c r="M173" s="10" t="str">
        <f>IF(J173="","",IFERROR(INDEX(Products!$E$5:$E$89,MATCH(J173,Products!$A$5:$A$89,0)),0))</f>
        <v/>
      </c>
      <c r="N173" s="11" t="str">
        <f>IF(L173="","",IFERROR(VLOOKUP(L173,'Discount Slabs'!$A$5:$B$9,2,TRUE()),0))</f>
        <v/>
      </c>
      <c r="O173" s="12"/>
      <c r="P173" s="10" t="str">
        <f t="shared" si="12"/>
        <v/>
      </c>
      <c r="Q173" s="10" t="str">
        <f t="shared" si="13"/>
        <v/>
      </c>
      <c r="R173" s="13"/>
      <c r="S173" s="10" t="str">
        <f t="shared" si="14"/>
        <v/>
      </c>
      <c r="T173" s="8"/>
      <c r="U173" s="7"/>
      <c r="V173" s="13"/>
      <c r="W173" s="9" t="str">
        <f t="shared" si="15"/>
        <v/>
      </c>
      <c r="X173" s="10" t="str">
        <f t="shared" si="16"/>
        <v/>
      </c>
      <c r="Y173" s="8"/>
      <c r="Z173" s="7"/>
      <c r="AA173" s="7"/>
      <c r="AB173" s="7"/>
      <c r="AC173" t="str">
        <f t="shared" si="17"/>
        <v/>
      </c>
    </row>
    <row r="174" spans="1:29" x14ac:dyDescent="0.3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9" t="str">
        <f>IF(J174="","",IFERROR(INDEX(Products!$B$5:$B$89,MATCH(J174,Products!$A$5:$A$89,0)),"Check ID"))</f>
        <v/>
      </c>
      <c r="L174" s="7"/>
      <c r="M174" s="10" t="str">
        <f>IF(J174="","",IFERROR(INDEX(Products!$E$5:$E$89,MATCH(J174,Products!$A$5:$A$89,0)),0))</f>
        <v/>
      </c>
      <c r="N174" s="11" t="str">
        <f>IF(L174="","",IFERROR(VLOOKUP(L174,'Discount Slabs'!$A$5:$B$9,2,TRUE()),0))</f>
        <v/>
      </c>
      <c r="O174" s="12"/>
      <c r="P174" s="10" t="str">
        <f t="shared" si="12"/>
        <v/>
      </c>
      <c r="Q174" s="10" t="str">
        <f t="shared" si="13"/>
        <v/>
      </c>
      <c r="R174" s="13"/>
      <c r="S174" s="10" t="str">
        <f t="shared" si="14"/>
        <v/>
      </c>
      <c r="T174" s="8"/>
      <c r="U174" s="7"/>
      <c r="V174" s="13"/>
      <c r="W174" s="9" t="str">
        <f t="shared" si="15"/>
        <v/>
      </c>
      <c r="X174" s="10" t="str">
        <f t="shared" si="16"/>
        <v/>
      </c>
      <c r="Y174" s="8"/>
      <c r="Z174" s="7"/>
      <c r="AA174" s="7"/>
      <c r="AB174" s="7"/>
      <c r="AC174" t="str">
        <f t="shared" si="17"/>
        <v/>
      </c>
    </row>
    <row r="175" spans="1:29" x14ac:dyDescent="0.3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9" t="str">
        <f>IF(J175="","",IFERROR(INDEX(Products!$B$5:$B$89,MATCH(J175,Products!$A$5:$A$89,0)),"Check ID"))</f>
        <v/>
      </c>
      <c r="L175" s="7"/>
      <c r="M175" s="10" t="str">
        <f>IF(J175="","",IFERROR(INDEX(Products!$E$5:$E$89,MATCH(J175,Products!$A$5:$A$89,0)),0))</f>
        <v/>
      </c>
      <c r="N175" s="11" t="str">
        <f>IF(L175="","",IFERROR(VLOOKUP(L175,'Discount Slabs'!$A$5:$B$9,2,TRUE()),0))</f>
        <v/>
      </c>
      <c r="O175" s="12"/>
      <c r="P175" s="10" t="str">
        <f t="shared" si="12"/>
        <v/>
      </c>
      <c r="Q175" s="10" t="str">
        <f t="shared" si="13"/>
        <v/>
      </c>
      <c r="R175" s="13"/>
      <c r="S175" s="10" t="str">
        <f t="shared" si="14"/>
        <v/>
      </c>
      <c r="T175" s="8"/>
      <c r="U175" s="7"/>
      <c r="V175" s="13"/>
      <c r="W175" s="9" t="str">
        <f t="shared" si="15"/>
        <v/>
      </c>
      <c r="X175" s="10" t="str">
        <f t="shared" si="16"/>
        <v/>
      </c>
      <c r="Y175" s="8"/>
      <c r="Z175" s="7"/>
      <c r="AA175" s="7"/>
      <c r="AB175" s="7"/>
      <c r="AC175" t="str">
        <f t="shared" si="17"/>
        <v/>
      </c>
    </row>
    <row r="176" spans="1:29" x14ac:dyDescent="0.3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9" t="str">
        <f>IF(J176="","",IFERROR(INDEX(Products!$B$5:$B$89,MATCH(J176,Products!$A$5:$A$89,0)),"Check ID"))</f>
        <v/>
      </c>
      <c r="L176" s="7"/>
      <c r="M176" s="10" t="str">
        <f>IF(J176="","",IFERROR(INDEX(Products!$E$5:$E$89,MATCH(J176,Products!$A$5:$A$89,0)),0))</f>
        <v/>
      </c>
      <c r="N176" s="11" t="str">
        <f>IF(L176="","",IFERROR(VLOOKUP(L176,'Discount Slabs'!$A$5:$B$9,2,TRUE()),0))</f>
        <v/>
      </c>
      <c r="O176" s="12"/>
      <c r="P176" s="10" t="str">
        <f t="shared" si="12"/>
        <v/>
      </c>
      <c r="Q176" s="10" t="str">
        <f t="shared" si="13"/>
        <v/>
      </c>
      <c r="R176" s="13"/>
      <c r="S176" s="10" t="str">
        <f t="shared" si="14"/>
        <v/>
      </c>
      <c r="T176" s="8"/>
      <c r="U176" s="7"/>
      <c r="V176" s="13"/>
      <c r="W176" s="9" t="str">
        <f t="shared" si="15"/>
        <v/>
      </c>
      <c r="X176" s="10" t="str">
        <f t="shared" si="16"/>
        <v/>
      </c>
      <c r="Y176" s="8"/>
      <c r="Z176" s="7"/>
      <c r="AA176" s="7"/>
      <c r="AB176" s="7"/>
      <c r="AC176" t="str">
        <f t="shared" si="17"/>
        <v/>
      </c>
    </row>
    <row r="177" spans="1:29" x14ac:dyDescent="0.3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9" t="str">
        <f>IF(J177="","",IFERROR(INDEX(Products!$B$5:$B$89,MATCH(J177,Products!$A$5:$A$89,0)),"Check ID"))</f>
        <v/>
      </c>
      <c r="L177" s="7"/>
      <c r="M177" s="10" t="str">
        <f>IF(J177="","",IFERROR(INDEX(Products!$E$5:$E$89,MATCH(J177,Products!$A$5:$A$89,0)),0))</f>
        <v/>
      </c>
      <c r="N177" s="11" t="str">
        <f>IF(L177="","",IFERROR(VLOOKUP(L177,'Discount Slabs'!$A$5:$B$9,2,TRUE()),0))</f>
        <v/>
      </c>
      <c r="O177" s="12"/>
      <c r="P177" s="10" t="str">
        <f t="shared" si="12"/>
        <v/>
      </c>
      <c r="Q177" s="10" t="str">
        <f t="shared" si="13"/>
        <v/>
      </c>
      <c r="R177" s="13"/>
      <c r="S177" s="10" t="str">
        <f t="shared" si="14"/>
        <v/>
      </c>
      <c r="T177" s="8"/>
      <c r="U177" s="7"/>
      <c r="V177" s="13"/>
      <c r="W177" s="9" t="str">
        <f t="shared" si="15"/>
        <v/>
      </c>
      <c r="X177" s="10" t="str">
        <f t="shared" si="16"/>
        <v/>
      </c>
      <c r="Y177" s="8"/>
      <c r="Z177" s="7"/>
      <c r="AA177" s="7"/>
      <c r="AB177" s="7"/>
      <c r="AC177" t="str">
        <f t="shared" si="17"/>
        <v/>
      </c>
    </row>
    <row r="178" spans="1:29" x14ac:dyDescent="0.3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9" t="str">
        <f>IF(J178="","",IFERROR(INDEX(Products!$B$5:$B$89,MATCH(J178,Products!$A$5:$A$89,0)),"Check ID"))</f>
        <v/>
      </c>
      <c r="L178" s="7"/>
      <c r="M178" s="10" t="str">
        <f>IF(J178="","",IFERROR(INDEX(Products!$E$5:$E$89,MATCH(J178,Products!$A$5:$A$89,0)),0))</f>
        <v/>
      </c>
      <c r="N178" s="11" t="str">
        <f>IF(L178="","",IFERROR(VLOOKUP(L178,'Discount Slabs'!$A$5:$B$9,2,TRUE()),0))</f>
        <v/>
      </c>
      <c r="O178" s="12"/>
      <c r="P178" s="10" t="str">
        <f t="shared" si="12"/>
        <v/>
      </c>
      <c r="Q178" s="10" t="str">
        <f t="shared" si="13"/>
        <v/>
      </c>
      <c r="R178" s="13"/>
      <c r="S178" s="10" t="str">
        <f t="shared" si="14"/>
        <v/>
      </c>
      <c r="T178" s="8"/>
      <c r="U178" s="7"/>
      <c r="V178" s="13"/>
      <c r="W178" s="9" t="str">
        <f t="shared" si="15"/>
        <v/>
      </c>
      <c r="X178" s="10" t="str">
        <f t="shared" si="16"/>
        <v/>
      </c>
      <c r="Y178" s="8"/>
      <c r="Z178" s="7"/>
      <c r="AA178" s="7"/>
      <c r="AB178" s="7"/>
      <c r="AC178" t="str">
        <f t="shared" si="17"/>
        <v/>
      </c>
    </row>
    <row r="179" spans="1:29" x14ac:dyDescent="0.3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9" t="str">
        <f>IF(J179="","",IFERROR(INDEX(Products!$B$5:$B$89,MATCH(J179,Products!$A$5:$A$89,0)),"Check ID"))</f>
        <v/>
      </c>
      <c r="L179" s="7"/>
      <c r="M179" s="10" t="str">
        <f>IF(J179="","",IFERROR(INDEX(Products!$E$5:$E$89,MATCH(J179,Products!$A$5:$A$89,0)),0))</f>
        <v/>
      </c>
      <c r="N179" s="11" t="str">
        <f>IF(L179="","",IFERROR(VLOOKUP(L179,'Discount Slabs'!$A$5:$B$9,2,TRUE()),0))</f>
        <v/>
      </c>
      <c r="O179" s="12"/>
      <c r="P179" s="10" t="str">
        <f t="shared" si="12"/>
        <v/>
      </c>
      <c r="Q179" s="10" t="str">
        <f t="shared" si="13"/>
        <v/>
      </c>
      <c r="R179" s="13"/>
      <c r="S179" s="10" t="str">
        <f t="shared" si="14"/>
        <v/>
      </c>
      <c r="T179" s="8"/>
      <c r="U179" s="7"/>
      <c r="V179" s="13"/>
      <c r="W179" s="9" t="str">
        <f t="shared" si="15"/>
        <v/>
      </c>
      <c r="X179" s="10" t="str">
        <f t="shared" si="16"/>
        <v/>
      </c>
      <c r="Y179" s="8"/>
      <c r="Z179" s="7"/>
      <c r="AA179" s="7"/>
      <c r="AB179" s="7"/>
      <c r="AC179" t="str">
        <f t="shared" si="17"/>
        <v/>
      </c>
    </row>
    <row r="180" spans="1:29" x14ac:dyDescent="0.3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9" t="str">
        <f>IF(J180="","",IFERROR(INDEX(Products!$B$5:$B$89,MATCH(J180,Products!$A$5:$A$89,0)),"Check ID"))</f>
        <v/>
      </c>
      <c r="L180" s="7"/>
      <c r="M180" s="10" t="str">
        <f>IF(J180="","",IFERROR(INDEX(Products!$E$5:$E$89,MATCH(J180,Products!$A$5:$A$89,0)),0))</f>
        <v/>
      </c>
      <c r="N180" s="11" t="str">
        <f>IF(L180="","",IFERROR(VLOOKUP(L180,'Discount Slabs'!$A$5:$B$9,2,TRUE()),0))</f>
        <v/>
      </c>
      <c r="O180" s="12"/>
      <c r="P180" s="10" t="str">
        <f t="shared" si="12"/>
        <v/>
      </c>
      <c r="Q180" s="10" t="str">
        <f t="shared" si="13"/>
        <v/>
      </c>
      <c r="R180" s="13"/>
      <c r="S180" s="10" t="str">
        <f t="shared" si="14"/>
        <v/>
      </c>
      <c r="T180" s="8"/>
      <c r="U180" s="7"/>
      <c r="V180" s="13"/>
      <c r="W180" s="9" t="str">
        <f t="shared" si="15"/>
        <v/>
      </c>
      <c r="X180" s="10" t="str">
        <f t="shared" si="16"/>
        <v/>
      </c>
      <c r="Y180" s="8"/>
      <c r="Z180" s="7"/>
      <c r="AA180" s="7"/>
      <c r="AB180" s="7"/>
      <c r="AC180" t="str">
        <f t="shared" si="17"/>
        <v/>
      </c>
    </row>
    <row r="181" spans="1:29" x14ac:dyDescent="0.3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9" t="str">
        <f>IF(J181="","",IFERROR(INDEX(Products!$B$5:$B$89,MATCH(J181,Products!$A$5:$A$89,0)),"Check ID"))</f>
        <v/>
      </c>
      <c r="L181" s="7"/>
      <c r="M181" s="10" t="str">
        <f>IF(J181="","",IFERROR(INDEX(Products!$E$5:$E$89,MATCH(J181,Products!$A$5:$A$89,0)),0))</f>
        <v/>
      </c>
      <c r="N181" s="11" t="str">
        <f>IF(L181="","",IFERROR(VLOOKUP(L181,'Discount Slabs'!$A$5:$B$9,2,TRUE()),0))</f>
        <v/>
      </c>
      <c r="O181" s="12"/>
      <c r="P181" s="10" t="str">
        <f t="shared" si="12"/>
        <v/>
      </c>
      <c r="Q181" s="10" t="str">
        <f t="shared" si="13"/>
        <v/>
      </c>
      <c r="R181" s="13"/>
      <c r="S181" s="10" t="str">
        <f t="shared" si="14"/>
        <v/>
      </c>
      <c r="T181" s="8"/>
      <c r="U181" s="7"/>
      <c r="V181" s="13"/>
      <c r="W181" s="9" t="str">
        <f t="shared" si="15"/>
        <v/>
      </c>
      <c r="X181" s="10" t="str">
        <f t="shared" si="16"/>
        <v/>
      </c>
      <c r="Y181" s="8"/>
      <c r="Z181" s="7"/>
      <c r="AA181" s="7"/>
      <c r="AB181" s="7"/>
      <c r="AC181" t="str">
        <f t="shared" si="17"/>
        <v/>
      </c>
    </row>
    <row r="182" spans="1:29" x14ac:dyDescent="0.3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9" t="str">
        <f>IF(J182="","",IFERROR(INDEX(Products!$B$5:$B$89,MATCH(J182,Products!$A$5:$A$89,0)),"Check ID"))</f>
        <v/>
      </c>
      <c r="L182" s="7"/>
      <c r="M182" s="10" t="str">
        <f>IF(J182="","",IFERROR(INDEX(Products!$E$5:$E$89,MATCH(J182,Products!$A$5:$A$89,0)),0))</f>
        <v/>
      </c>
      <c r="N182" s="11" t="str">
        <f>IF(L182="","",IFERROR(VLOOKUP(L182,'Discount Slabs'!$A$5:$B$9,2,TRUE()),0))</f>
        <v/>
      </c>
      <c r="O182" s="12"/>
      <c r="P182" s="10" t="str">
        <f t="shared" si="12"/>
        <v/>
      </c>
      <c r="Q182" s="10" t="str">
        <f t="shared" si="13"/>
        <v/>
      </c>
      <c r="R182" s="13"/>
      <c r="S182" s="10" t="str">
        <f t="shared" si="14"/>
        <v/>
      </c>
      <c r="T182" s="8"/>
      <c r="U182" s="7"/>
      <c r="V182" s="13"/>
      <c r="W182" s="9" t="str">
        <f t="shared" si="15"/>
        <v/>
      </c>
      <c r="X182" s="10" t="str">
        <f t="shared" si="16"/>
        <v/>
      </c>
      <c r="Y182" s="8"/>
      <c r="Z182" s="7"/>
      <c r="AA182" s="7"/>
      <c r="AB182" s="7"/>
      <c r="AC182" t="str">
        <f t="shared" si="17"/>
        <v/>
      </c>
    </row>
    <row r="183" spans="1:29" x14ac:dyDescent="0.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9" t="str">
        <f>IF(J183="","",IFERROR(INDEX(Products!$B$5:$B$89,MATCH(J183,Products!$A$5:$A$89,0)),"Check ID"))</f>
        <v/>
      </c>
      <c r="L183" s="7"/>
      <c r="M183" s="10" t="str">
        <f>IF(J183="","",IFERROR(INDEX(Products!$E$5:$E$89,MATCH(J183,Products!$A$5:$A$89,0)),0))</f>
        <v/>
      </c>
      <c r="N183" s="11" t="str">
        <f>IF(L183="","",IFERROR(VLOOKUP(L183,'Discount Slabs'!$A$5:$B$9,2,TRUE()),0))</f>
        <v/>
      </c>
      <c r="O183" s="12"/>
      <c r="P183" s="10" t="str">
        <f t="shared" si="12"/>
        <v/>
      </c>
      <c r="Q183" s="10" t="str">
        <f t="shared" si="13"/>
        <v/>
      </c>
      <c r="R183" s="13"/>
      <c r="S183" s="10" t="str">
        <f t="shared" si="14"/>
        <v/>
      </c>
      <c r="T183" s="8"/>
      <c r="U183" s="7"/>
      <c r="V183" s="13"/>
      <c r="W183" s="9" t="str">
        <f t="shared" si="15"/>
        <v/>
      </c>
      <c r="X183" s="10" t="str">
        <f t="shared" si="16"/>
        <v/>
      </c>
      <c r="Y183" s="8"/>
      <c r="Z183" s="7"/>
      <c r="AA183" s="7"/>
      <c r="AB183" s="7"/>
      <c r="AC183" t="str">
        <f t="shared" si="17"/>
        <v/>
      </c>
    </row>
    <row r="184" spans="1:29" x14ac:dyDescent="0.3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9" t="str">
        <f>IF(J184="","",IFERROR(INDEX(Products!$B$5:$B$89,MATCH(J184,Products!$A$5:$A$89,0)),"Check ID"))</f>
        <v/>
      </c>
      <c r="L184" s="7"/>
      <c r="M184" s="10" t="str">
        <f>IF(J184="","",IFERROR(INDEX(Products!$E$5:$E$89,MATCH(J184,Products!$A$5:$A$89,0)),0))</f>
        <v/>
      </c>
      <c r="N184" s="11" t="str">
        <f>IF(L184="","",IFERROR(VLOOKUP(L184,'Discount Slabs'!$A$5:$B$9,2,TRUE()),0))</f>
        <v/>
      </c>
      <c r="O184" s="12"/>
      <c r="P184" s="10" t="str">
        <f t="shared" si="12"/>
        <v/>
      </c>
      <c r="Q184" s="10" t="str">
        <f t="shared" si="13"/>
        <v/>
      </c>
      <c r="R184" s="13"/>
      <c r="S184" s="10" t="str">
        <f t="shared" si="14"/>
        <v/>
      </c>
      <c r="T184" s="8"/>
      <c r="U184" s="7"/>
      <c r="V184" s="13"/>
      <c r="W184" s="9" t="str">
        <f t="shared" si="15"/>
        <v/>
      </c>
      <c r="X184" s="10" t="str">
        <f t="shared" si="16"/>
        <v/>
      </c>
      <c r="Y184" s="8"/>
      <c r="Z184" s="7"/>
      <c r="AA184" s="7"/>
      <c r="AB184" s="7"/>
      <c r="AC184" t="str">
        <f t="shared" si="17"/>
        <v/>
      </c>
    </row>
    <row r="185" spans="1:29" x14ac:dyDescent="0.3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9" t="str">
        <f>IF(J185="","",IFERROR(INDEX(Products!$B$5:$B$89,MATCH(J185,Products!$A$5:$A$89,0)),"Check ID"))</f>
        <v/>
      </c>
      <c r="L185" s="7"/>
      <c r="M185" s="10" t="str">
        <f>IF(J185="","",IFERROR(INDEX(Products!$E$5:$E$89,MATCH(J185,Products!$A$5:$A$89,0)),0))</f>
        <v/>
      </c>
      <c r="N185" s="11" t="str">
        <f>IF(L185="","",IFERROR(VLOOKUP(L185,'Discount Slabs'!$A$5:$B$9,2,TRUE()),0))</f>
        <v/>
      </c>
      <c r="O185" s="12"/>
      <c r="P185" s="10" t="str">
        <f t="shared" si="12"/>
        <v/>
      </c>
      <c r="Q185" s="10" t="str">
        <f t="shared" si="13"/>
        <v/>
      </c>
      <c r="R185" s="13"/>
      <c r="S185" s="10" t="str">
        <f t="shared" si="14"/>
        <v/>
      </c>
      <c r="T185" s="8"/>
      <c r="U185" s="7"/>
      <c r="V185" s="13"/>
      <c r="W185" s="9" t="str">
        <f t="shared" si="15"/>
        <v/>
      </c>
      <c r="X185" s="10" t="str">
        <f t="shared" si="16"/>
        <v/>
      </c>
      <c r="Y185" s="8"/>
      <c r="Z185" s="7"/>
      <c r="AA185" s="7"/>
      <c r="AB185" s="7"/>
      <c r="AC185" t="str">
        <f t="shared" si="17"/>
        <v/>
      </c>
    </row>
    <row r="186" spans="1:29" x14ac:dyDescent="0.3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9" t="str">
        <f>IF(J186="","",IFERROR(INDEX(Products!$B$5:$B$89,MATCH(J186,Products!$A$5:$A$89,0)),"Check ID"))</f>
        <v/>
      </c>
      <c r="L186" s="7"/>
      <c r="M186" s="10" t="str">
        <f>IF(J186="","",IFERROR(INDEX(Products!$E$5:$E$89,MATCH(J186,Products!$A$5:$A$89,0)),0))</f>
        <v/>
      </c>
      <c r="N186" s="11" t="str">
        <f>IF(L186="","",IFERROR(VLOOKUP(L186,'Discount Slabs'!$A$5:$B$9,2,TRUE()),0))</f>
        <v/>
      </c>
      <c r="O186" s="12"/>
      <c r="P186" s="10" t="str">
        <f t="shared" si="12"/>
        <v/>
      </c>
      <c r="Q186" s="10" t="str">
        <f t="shared" si="13"/>
        <v/>
      </c>
      <c r="R186" s="13"/>
      <c r="S186" s="10" t="str">
        <f t="shared" si="14"/>
        <v/>
      </c>
      <c r="T186" s="8"/>
      <c r="U186" s="7"/>
      <c r="V186" s="13"/>
      <c r="W186" s="9" t="str">
        <f t="shared" si="15"/>
        <v/>
      </c>
      <c r="X186" s="10" t="str">
        <f t="shared" si="16"/>
        <v/>
      </c>
      <c r="Y186" s="8"/>
      <c r="Z186" s="7"/>
      <c r="AA186" s="7"/>
      <c r="AB186" s="7"/>
      <c r="AC186" t="str">
        <f t="shared" si="17"/>
        <v/>
      </c>
    </row>
    <row r="187" spans="1:29" x14ac:dyDescent="0.3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9" t="str">
        <f>IF(J187="","",IFERROR(INDEX(Products!$B$5:$B$89,MATCH(J187,Products!$A$5:$A$89,0)),"Check ID"))</f>
        <v/>
      </c>
      <c r="L187" s="7"/>
      <c r="M187" s="10" t="str">
        <f>IF(J187="","",IFERROR(INDEX(Products!$E$5:$E$89,MATCH(J187,Products!$A$5:$A$89,0)),0))</f>
        <v/>
      </c>
      <c r="N187" s="11" t="str">
        <f>IF(L187="","",IFERROR(VLOOKUP(L187,'Discount Slabs'!$A$5:$B$9,2,TRUE()),0))</f>
        <v/>
      </c>
      <c r="O187" s="12"/>
      <c r="P187" s="10" t="str">
        <f t="shared" si="12"/>
        <v/>
      </c>
      <c r="Q187" s="10" t="str">
        <f t="shared" si="13"/>
        <v/>
      </c>
      <c r="R187" s="13"/>
      <c r="S187" s="10" t="str">
        <f t="shared" si="14"/>
        <v/>
      </c>
      <c r="T187" s="8"/>
      <c r="U187" s="7"/>
      <c r="V187" s="13"/>
      <c r="W187" s="9" t="str">
        <f t="shared" si="15"/>
        <v/>
      </c>
      <c r="X187" s="10" t="str">
        <f t="shared" si="16"/>
        <v/>
      </c>
      <c r="Y187" s="8"/>
      <c r="Z187" s="7"/>
      <c r="AA187" s="7"/>
      <c r="AB187" s="7"/>
      <c r="AC187" t="str">
        <f t="shared" si="17"/>
        <v/>
      </c>
    </row>
    <row r="188" spans="1:29" x14ac:dyDescent="0.3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9" t="str">
        <f>IF(J188="","",IFERROR(INDEX(Products!$B$5:$B$89,MATCH(J188,Products!$A$5:$A$89,0)),"Check ID"))</f>
        <v/>
      </c>
      <c r="L188" s="7"/>
      <c r="M188" s="10" t="str">
        <f>IF(J188="","",IFERROR(INDEX(Products!$E$5:$E$89,MATCH(J188,Products!$A$5:$A$89,0)),0))</f>
        <v/>
      </c>
      <c r="N188" s="11" t="str">
        <f>IF(L188="","",IFERROR(VLOOKUP(L188,'Discount Slabs'!$A$5:$B$9,2,TRUE()),0))</f>
        <v/>
      </c>
      <c r="O188" s="12"/>
      <c r="P188" s="10" t="str">
        <f t="shared" si="12"/>
        <v/>
      </c>
      <c r="Q188" s="10" t="str">
        <f t="shared" si="13"/>
        <v/>
      </c>
      <c r="R188" s="13"/>
      <c r="S188" s="10" t="str">
        <f t="shared" si="14"/>
        <v/>
      </c>
      <c r="T188" s="8"/>
      <c r="U188" s="7"/>
      <c r="V188" s="13"/>
      <c r="W188" s="9" t="str">
        <f t="shared" si="15"/>
        <v/>
      </c>
      <c r="X188" s="10" t="str">
        <f t="shared" si="16"/>
        <v/>
      </c>
      <c r="Y188" s="8"/>
      <c r="Z188" s="7"/>
      <c r="AA188" s="7"/>
      <c r="AB188" s="7"/>
      <c r="AC188" t="str">
        <f t="shared" si="17"/>
        <v/>
      </c>
    </row>
    <row r="189" spans="1:29" x14ac:dyDescent="0.3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9" t="str">
        <f>IF(J189="","",IFERROR(INDEX(Products!$B$5:$B$89,MATCH(J189,Products!$A$5:$A$89,0)),"Check ID"))</f>
        <v/>
      </c>
      <c r="L189" s="7"/>
      <c r="M189" s="10" t="str">
        <f>IF(J189="","",IFERROR(INDEX(Products!$E$5:$E$89,MATCH(J189,Products!$A$5:$A$89,0)),0))</f>
        <v/>
      </c>
      <c r="N189" s="11" t="str">
        <f>IF(L189="","",IFERROR(VLOOKUP(L189,'Discount Slabs'!$A$5:$B$9,2,TRUE()),0))</f>
        <v/>
      </c>
      <c r="O189" s="12"/>
      <c r="P189" s="10" t="str">
        <f t="shared" si="12"/>
        <v/>
      </c>
      <c r="Q189" s="10" t="str">
        <f t="shared" si="13"/>
        <v/>
      </c>
      <c r="R189" s="13"/>
      <c r="S189" s="10" t="str">
        <f t="shared" si="14"/>
        <v/>
      </c>
      <c r="T189" s="8"/>
      <c r="U189" s="7"/>
      <c r="V189" s="13"/>
      <c r="W189" s="9" t="str">
        <f t="shared" si="15"/>
        <v/>
      </c>
      <c r="X189" s="10" t="str">
        <f t="shared" si="16"/>
        <v/>
      </c>
      <c r="Y189" s="8"/>
      <c r="Z189" s="7"/>
      <c r="AA189" s="7"/>
      <c r="AB189" s="7"/>
      <c r="AC189" t="str">
        <f t="shared" si="17"/>
        <v/>
      </c>
    </row>
    <row r="190" spans="1:29" x14ac:dyDescent="0.3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9" t="str">
        <f>IF(J190="","",IFERROR(INDEX(Products!$B$5:$B$89,MATCH(J190,Products!$A$5:$A$89,0)),"Check ID"))</f>
        <v/>
      </c>
      <c r="L190" s="7"/>
      <c r="M190" s="10" t="str">
        <f>IF(J190="","",IFERROR(INDEX(Products!$E$5:$E$89,MATCH(J190,Products!$A$5:$A$89,0)),0))</f>
        <v/>
      </c>
      <c r="N190" s="11" t="str">
        <f>IF(L190="","",IFERROR(VLOOKUP(L190,'Discount Slabs'!$A$5:$B$9,2,TRUE()),0))</f>
        <v/>
      </c>
      <c r="O190" s="12"/>
      <c r="P190" s="10" t="str">
        <f t="shared" si="12"/>
        <v/>
      </c>
      <c r="Q190" s="10" t="str">
        <f t="shared" si="13"/>
        <v/>
      </c>
      <c r="R190" s="13"/>
      <c r="S190" s="10" t="str">
        <f t="shared" si="14"/>
        <v/>
      </c>
      <c r="T190" s="8"/>
      <c r="U190" s="7"/>
      <c r="V190" s="13"/>
      <c r="W190" s="9" t="str">
        <f t="shared" si="15"/>
        <v/>
      </c>
      <c r="X190" s="10" t="str">
        <f t="shared" si="16"/>
        <v/>
      </c>
      <c r="Y190" s="8"/>
      <c r="Z190" s="7"/>
      <c r="AA190" s="7"/>
      <c r="AB190" s="7"/>
      <c r="AC190" t="str">
        <f t="shared" si="17"/>
        <v/>
      </c>
    </row>
    <row r="191" spans="1:29" x14ac:dyDescent="0.3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9" t="str">
        <f>IF(J191="","",IFERROR(INDEX(Products!$B$5:$B$89,MATCH(J191,Products!$A$5:$A$89,0)),"Check ID"))</f>
        <v/>
      </c>
      <c r="L191" s="7"/>
      <c r="M191" s="10" t="str">
        <f>IF(J191="","",IFERROR(INDEX(Products!$E$5:$E$89,MATCH(J191,Products!$A$5:$A$89,0)),0))</f>
        <v/>
      </c>
      <c r="N191" s="11" t="str">
        <f>IF(L191="","",IFERROR(VLOOKUP(L191,'Discount Slabs'!$A$5:$B$9,2,TRUE()),0))</f>
        <v/>
      </c>
      <c r="O191" s="12"/>
      <c r="P191" s="10" t="str">
        <f t="shared" si="12"/>
        <v/>
      </c>
      <c r="Q191" s="10" t="str">
        <f t="shared" si="13"/>
        <v/>
      </c>
      <c r="R191" s="13"/>
      <c r="S191" s="10" t="str">
        <f t="shared" si="14"/>
        <v/>
      </c>
      <c r="T191" s="8"/>
      <c r="U191" s="7"/>
      <c r="V191" s="13"/>
      <c r="W191" s="9" t="str">
        <f t="shared" si="15"/>
        <v/>
      </c>
      <c r="X191" s="10" t="str">
        <f t="shared" si="16"/>
        <v/>
      </c>
      <c r="Y191" s="8"/>
      <c r="Z191" s="7"/>
      <c r="AA191" s="7"/>
      <c r="AB191" s="7"/>
      <c r="AC191" t="str">
        <f t="shared" si="17"/>
        <v/>
      </c>
    </row>
    <row r="192" spans="1:29" x14ac:dyDescent="0.3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9" t="str">
        <f>IF(J192="","",IFERROR(INDEX(Products!$B$5:$B$89,MATCH(J192,Products!$A$5:$A$89,0)),"Check ID"))</f>
        <v/>
      </c>
      <c r="L192" s="7"/>
      <c r="M192" s="10" t="str">
        <f>IF(J192="","",IFERROR(INDEX(Products!$E$5:$E$89,MATCH(J192,Products!$A$5:$A$89,0)),0))</f>
        <v/>
      </c>
      <c r="N192" s="11" t="str">
        <f>IF(L192="","",IFERROR(VLOOKUP(L192,'Discount Slabs'!$A$5:$B$9,2,TRUE()),0))</f>
        <v/>
      </c>
      <c r="O192" s="12"/>
      <c r="P192" s="10" t="str">
        <f t="shared" si="12"/>
        <v/>
      </c>
      <c r="Q192" s="10" t="str">
        <f t="shared" si="13"/>
        <v/>
      </c>
      <c r="R192" s="13"/>
      <c r="S192" s="10" t="str">
        <f t="shared" si="14"/>
        <v/>
      </c>
      <c r="T192" s="8"/>
      <c r="U192" s="7"/>
      <c r="V192" s="13"/>
      <c r="W192" s="9" t="str">
        <f t="shared" si="15"/>
        <v/>
      </c>
      <c r="X192" s="10" t="str">
        <f t="shared" si="16"/>
        <v/>
      </c>
      <c r="Y192" s="8"/>
      <c r="Z192" s="7"/>
      <c r="AA192" s="7"/>
      <c r="AB192" s="7"/>
      <c r="AC192" t="str">
        <f t="shared" si="17"/>
        <v/>
      </c>
    </row>
    <row r="193" spans="1:29" x14ac:dyDescent="0.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9" t="str">
        <f>IF(J193="","",IFERROR(INDEX(Products!$B$5:$B$89,MATCH(J193,Products!$A$5:$A$89,0)),"Check ID"))</f>
        <v/>
      </c>
      <c r="L193" s="7"/>
      <c r="M193" s="10" t="str">
        <f>IF(J193="","",IFERROR(INDEX(Products!$E$5:$E$89,MATCH(J193,Products!$A$5:$A$89,0)),0))</f>
        <v/>
      </c>
      <c r="N193" s="11" t="str">
        <f>IF(L193="","",IFERROR(VLOOKUP(L193,'Discount Slabs'!$A$5:$B$9,2,TRUE()),0))</f>
        <v/>
      </c>
      <c r="O193" s="12"/>
      <c r="P193" s="10" t="str">
        <f t="shared" si="12"/>
        <v/>
      </c>
      <c r="Q193" s="10" t="str">
        <f t="shared" si="13"/>
        <v/>
      </c>
      <c r="R193" s="13"/>
      <c r="S193" s="10" t="str">
        <f t="shared" si="14"/>
        <v/>
      </c>
      <c r="T193" s="8"/>
      <c r="U193" s="7"/>
      <c r="V193" s="13"/>
      <c r="W193" s="9" t="str">
        <f t="shared" si="15"/>
        <v/>
      </c>
      <c r="X193" s="10" t="str">
        <f t="shared" si="16"/>
        <v/>
      </c>
      <c r="Y193" s="8"/>
      <c r="Z193" s="7"/>
      <c r="AA193" s="7"/>
      <c r="AB193" s="7"/>
      <c r="AC193" t="str">
        <f t="shared" si="17"/>
        <v/>
      </c>
    </row>
    <row r="194" spans="1:29" x14ac:dyDescent="0.3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9" t="str">
        <f>IF(J194="","",IFERROR(INDEX(Products!$B$5:$B$89,MATCH(J194,Products!$A$5:$A$89,0)),"Check ID"))</f>
        <v/>
      </c>
      <c r="L194" s="7"/>
      <c r="M194" s="10" t="str">
        <f>IF(J194="","",IFERROR(INDEX(Products!$E$5:$E$89,MATCH(J194,Products!$A$5:$A$89,0)),0))</f>
        <v/>
      </c>
      <c r="N194" s="11" t="str">
        <f>IF(L194="","",IFERROR(VLOOKUP(L194,'Discount Slabs'!$A$5:$B$9,2,TRUE()),0))</f>
        <v/>
      </c>
      <c r="O194" s="12"/>
      <c r="P194" s="10" t="str">
        <f t="shared" si="12"/>
        <v/>
      </c>
      <c r="Q194" s="10" t="str">
        <f t="shared" si="13"/>
        <v/>
      </c>
      <c r="R194" s="13"/>
      <c r="S194" s="10" t="str">
        <f t="shared" si="14"/>
        <v/>
      </c>
      <c r="T194" s="8"/>
      <c r="U194" s="7"/>
      <c r="V194" s="13"/>
      <c r="W194" s="9" t="str">
        <f t="shared" si="15"/>
        <v/>
      </c>
      <c r="X194" s="10" t="str">
        <f t="shared" si="16"/>
        <v/>
      </c>
      <c r="Y194" s="8"/>
      <c r="Z194" s="7"/>
      <c r="AA194" s="7"/>
      <c r="AB194" s="7"/>
      <c r="AC194" t="str">
        <f t="shared" si="17"/>
        <v/>
      </c>
    </row>
    <row r="195" spans="1:29" x14ac:dyDescent="0.3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9" t="str">
        <f>IF(J195="","",IFERROR(INDEX(Products!$B$5:$B$89,MATCH(J195,Products!$A$5:$A$89,0)),"Check ID"))</f>
        <v/>
      </c>
      <c r="L195" s="7"/>
      <c r="M195" s="10" t="str">
        <f>IF(J195="","",IFERROR(INDEX(Products!$E$5:$E$89,MATCH(J195,Products!$A$5:$A$89,0)),0))</f>
        <v/>
      </c>
      <c r="N195" s="11" t="str">
        <f>IF(L195="","",IFERROR(VLOOKUP(L195,'Discount Slabs'!$A$5:$B$9,2,TRUE()),0))</f>
        <v/>
      </c>
      <c r="O195" s="12"/>
      <c r="P195" s="10" t="str">
        <f t="shared" si="12"/>
        <v/>
      </c>
      <c r="Q195" s="10" t="str">
        <f t="shared" si="13"/>
        <v/>
      </c>
      <c r="R195" s="13"/>
      <c r="S195" s="10" t="str">
        <f t="shared" si="14"/>
        <v/>
      </c>
      <c r="T195" s="8"/>
      <c r="U195" s="7"/>
      <c r="V195" s="13"/>
      <c r="W195" s="9" t="str">
        <f t="shared" si="15"/>
        <v/>
      </c>
      <c r="X195" s="10" t="str">
        <f t="shared" si="16"/>
        <v/>
      </c>
      <c r="Y195" s="8"/>
      <c r="Z195" s="7"/>
      <c r="AA195" s="7"/>
      <c r="AB195" s="7"/>
      <c r="AC195" t="str">
        <f t="shared" si="17"/>
        <v/>
      </c>
    </row>
    <row r="196" spans="1:29" x14ac:dyDescent="0.3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9" t="str">
        <f>IF(J196="","",IFERROR(INDEX(Products!$B$5:$B$89,MATCH(J196,Products!$A$5:$A$89,0)),"Check ID"))</f>
        <v/>
      </c>
      <c r="L196" s="7"/>
      <c r="M196" s="10" t="str">
        <f>IF(J196="","",IFERROR(INDEX(Products!$E$5:$E$89,MATCH(J196,Products!$A$5:$A$89,0)),0))</f>
        <v/>
      </c>
      <c r="N196" s="11" t="str">
        <f>IF(L196="","",IFERROR(VLOOKUP(L196,'Discount Slabs'!$A$5:$B$9,2,TRUE()),0))</f>
        <v/>
      </c>
      <c r="O196" s="12"/>
      <c r="P196" s="10" t="str">
        <f t="shared" si="12"/>
        <v/>
      </c>
      <c r="Q196" s="10" t="str">
        <f t="shared" si="13"/>
        <v/>
      </c>
      <c r="R196" s="13"/>
      <c r="S196" s="10" t="str">
        <f t="shared" si="14"/>
        <v/>
      </c>
      <c r="T196" s="8"/>
      <c r="U196" s="7"/>
      <c r="V196" s="13"/>
      <c r="W196" s="9" t="str">
        <f t="shared" si="15"/>
        <v/>
      </c>
      <c r="X196" s="10" t="str">
        <f t="shared" si="16"/>
        <v/>
      </c>
      <c r="Y196" s="8"/>
      <c r="Z196" s="7"/>
      <c r="AA196" s="7"/>
      <c r="AB196" s="7"/>
      <c r="AC196" t="str">
        <f t="shared" si="17"/>
        <v/>
      </c>
    </row>
    <row r="197" spans="1:29" x14ac:dyDescent="0.3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9" t="str">
        <f>IF(J197="","",IFERROR(INDEX(Products!$B$5:$B$89,MATCH(J197,Products!$A$5:$A$89,0)),"Check ID"))</f>
        <v/>
      </c>
      <c r="L197" s="7"/>
      <c r="M197" s="10" t="str">
        <f>IF(J197="","",IFERROR(INDEX(Products!$E$5:$E$89,MATCH(J197,Products!$A$5:$A$89,0)),0))</f>
        <v/>
      </c>
      <c r="N197" s="11" t="str">
        <f>IF(L197="","",IFERROR(VLOOKUP(L197,'Discount Slabs'!$A$5:$B$9,2,TRUE()),0))</f>
        <v/>
      </c>
      <c r="O197" s="12"/>
      <c r="P197" s="10" t="str">
        <f t="shared" ref="P197:P260" si="18">IF(OR(J197="",L197=""),"",ROUND(M197*(1-N197-N(O197)),0))</f>
        <v/>
      </c>
      <c r="Q197" s="10" t="str">
        <f t="shared" ref="Q197:Q260" si="19">IF(P197="","",P197*L197)</f>
        <v/>
      </c>
      <c r="R197" s="13"/>
      <c r="S197" s="10" t="str">
        <f t="shared" ref="S197:S260" si="20">IF(Q197="","",Q197+N(R197))</f>
        <v/>
      </c>
      <c r="T197" s="8"/>
      <c r="U197" s="7"/>
      <c r="V197" s="13"/>
      <c r="W197" s="9" t="str">
        <f t="shared" ref="W197:W260" si="21">IF(OR(U197="Advance received",U197="In production",U197="Dispatched",U197="Delivered"),"Won","")</f>
        <v/>
      </c>
      <c r="X197" s="10" t="str">
        <f t="shared" ref="X197:X260" si="22">IF(S197="","",S197-N(V197))</f>
        <v/>
      </c>
      <c r="Y197" s="8"/>
      <c r="Z197" s="7"/>
      <c r="AA197" s="7"/>
      <c r="AB197" s="7"/>
      <c r="AC197" t="str">
        <f t="shared" ref="AC197:AC260" si="23">IF(P197="","",L197*M197)</f>
        <v/>
      </c>
    </row>
    <row r="198" spans="1:29" x14ac:dyDescent="0.3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9" t="str">
        <f>IF(J198="","",IFERROR(INDEX(Products!$B$5:$B$89,MATCH(J198,Products!$A$5:$A$89,0)),"Check ID"))</f>
        <v/>
      </c>
      <c r="L198" s="7"/>
      <c r="M198" s="10" t="str">
        <f>IF(J198="","",IFERROR(INDEX(Products!$E$5:$E$89,MATCH(J198,Products!$A$5:$A$89,0)),0))</f>
        <v/>
      </c>
      <c r="N198" s="11" t="str">
        <f>IF(L198="","",IFERROR(VLOOKUP(L198,'Discount Slabs'!$A$5:$B$9,2,TRUE()),0))</f>
        <v/>
      </c>
      <c r="O198" s="12"/>
      <c r="P198" s="10" t="str">
        <f t="shared" si="18"/>
        <v/>
      </c>
      <c r="Q198" s="10" t="str">
        <f t="shared" si="19"/>
        <v/>
      </c>
      <c r="R198" s="13"/>
      <c r="S198" s="10" t="str">
        <f t="shared" si="20"/>
        <v/>
      </c>
      <c r="T198" s="8"/>
      <c r="U198" s="7"/>
      <c r="V198" s="13"/>
      <c r="W198" s="9" t="str">
        <f t="shared" si="21"/>
        <v/>
      </c>
      <c r="X198" s="10" t="str">
        <f t="shared" si="22"/>
        <v/>
      </c>
      <c r="Y198" s="8"/>
      <c r="Z198" s="7"/>
      <c r="AA198" s="7"/>
      <c r="AB198" s="7"/>
      <c r="AC198" t="str">
        <f t="shared" si="23"/>
        <v/>
      </c>
    </row>
    <row r="199" spans="1:29" x14ac:dyDescent="0.3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9" t="str">
        <f>IF(J199="","",IFERROR(INDEX(Products!$B$5:$B$89,MATCH(J199,Products!$A$5:$A$89,0)),"Check ID"))</f>
        <v/>
      </c>
      <c r="L199" s="7"/>
      <c r="M199" s="10" t="str">
        <f>IF(J199="","",IFERROR(INDEX(Products!$E$5:$E$89,MATCH(J199,Products!$A$5:$A$89,0)),0))</f>
        <v/>
      </c>
      <c r="N199" s="11" t="str">
        <f>IF(L199="","",IFERROR(VLOOKUP(L199,'Discount Slabs'!$A$5:$B$9,2,TRUE()),0))</f>
        <v/>
      </c>
      <c r="O199" s="12"/>
      <c r="P199" s="10" t="str">
        <f t="shared" si="18"/>
        <v/>
      </c>
      <c r="Q199" s="10" t="str">
        <f t="shared" si="19"/>
        <v/>
      </c>
      <c r="R199" s="13"/>
      <c r="S199" s="10" t="str">
        <f t="shared" si="20"/>
        <v/>
      </c>
      <c r="T199" s="8"/>
      <c r="U199" s="7"/>
      <c r="V199" s="13"/>
      <c r="W199" s="9" t="str">
        <f t="shared" si="21"/>
        <v/>
      </c>
      <c r="X199" s="10" t="str">
        <f t="shared" si="22"/>
        <v/>
      </c>
      <c r="Y199" s="8"/>
      <c r="Z199" s="7"/>
      <c r="AA199" s="7"/>
      <c r="AB199" s="7"/>
      <c r="AC199" t="str">
        <f t="shared" si="23"/>
        <v/>
      </c>
    </row>
    <row r="200" spans="1:29" x14ac:dyDescent="0.3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9" t="str">
        <f>IF(J200="","",IFERROR(INDEX(Products!$B$5:$B$89,MATCH(J200,Products!$A$5:$A$89,0)),"Check ID"))</f>
        <v/>
      </c>
      <c r="L200" s="7"/>
      <c r="M200" s="10" t="str">
        <f>IF(J200="","",IFERROR(INDEX(Products!$E$5:$E$89,MATCH(J200,Products!$A$5:$A$89,0)),0))</f>
        <v/>
      </c>
      <c r="N200" s="11" t="str">
        <f>IF(L200="","",IFERROR(VLOOKUP(L200,'Discount Slabs'!$A$5:$B$9,2,TRUE()),0))</f>
        <v/>
      </c>
      <c r="O200" s="12"/>
      <c r="P200" s="10" t="str">
        <f t="shared" si="18"/>
        <v/>
      </c>
      <c r="Q200" s="10" t="str">
        <f t="shared" si="19"/>
        <v/>
      </c>
      <c r="R200" s="13"/>
      <c r="S200" s="10" t="str">
        <f t="shared" si="20"/>
        <v/>
      </c>
      <c r="T200" s="8"/>
      <c r="U200" s="7"/>
      <c r="V200" s="13"/>
      <c r="W200" s="9" t="str">
        <f t="shared" si="21"/>
        <v/>
      </c>
      <c r="X200" s="10" t="str">
        <f t="shared" si="22"/>
        <v/>
      </c>
      <c r="Y200" s="8"/>
      <c r="Z200" s="7"/>
      <c r="AA200" s="7"/>
      <c r="AB200" s="7"/>
      <c r="AC200" t="str">
        <f t="shared" si="23"/>
        <v/>
      </c>
    </row>
    <row r="201" spans="1:29" x14ac:dyDescent="0.3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9" t="str">
        <f>IF(J201="","",IFERROR(INDEX(Products!$B$5:$B$89,MATCH(J201,Products!$A$5:$A$89,0)),"Check ID"))</f>
        <v/>
      </c>
      <c r="L201" s="7"/>
      <c r="M201" s="10" t="str">
        <f>IF(J201="","",IFERROR(INDEX(Products!$E$5:$E$89,MATCH(J201,Products!$A$5:$A$89,0)),0))</f>
        <v/>
      </c>
      <c r="N201" s="11" t="str">
        <f>IF(L201="","",IFERROR(VLOOKUP(L201,'Discount Slabs'!$A$5:$B$9,2,TRUE()),0))</f>
        <v/>
      </c>
      <c r="O201" s="12"/>
      <c r="P201" s="10" t="str">
        <f t="shared" si="18"/>
        <v/>
      </c>
      <c r="Q201" s="10" t="str">
        <f t="shared" si="19"/>
        <v/>
      </c>
      <c r="R201" s="13"/>
      <c r="S201" s="10" t="str">
        <f t="shared" si="20"/>
        <v/>
      </c>
      <c r="T201" s="8"/>
      <c r="U201" s="7"/>
      <c r="V201" s="13"/>
      <c r="W201" s="9" t="str">
        <f t="shared" si="21"/>
        <v/>
      </c>
      <c r="X201" s="10" t="str">
        <f t="shared" si="22"/>
        <v/>
      </c>
      <c r="Y201" s="8"/>
      <c r="Z201" s="7"/>
      <c r="AA201" s="7"/>
      <c r="AB201" s="7"/>
      <c r="AC201" t="str">
        <f t="shared" si="23"/>
        <v/>
      </c>
    </row>
    <row r="202" spans="1:29" x14ac:dyDescent="0.3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9" t="str">
        <f>IF(J202="","",IFERROR(INDEX(Products!$B$5:$B$89,MATCH(J202,Products!$A$5:$A$89,0)),"Check ID"))</f>
        <v/>
      </c>
      <c r="L202" s="7"/>
      <c r="M202" s="10" t="str">
        <f>IF(J202="","",IFERROR(INDEX(Products!$E$5:$E$89,MATCH(J202,Products!$A$5:$A$89,0)),0))</f>
        <v/>
      </c>
      <c r="N202" s="11" t="str">
        <f>IF(L202="","",IFERROR(VLOOKUP(L202,'Discount Slabs'!$A$5:$B$9,2,TRUE()),0))</f>
        <v/>
      </c>
      <c r="O202" s="12"/>
      <c r="P202" s="10" t="str">
        <f t="shared" si="18"/>
        <v/>
      </c>
      <c r="Q202" s="10" t="str">
        <f t="shared" si="19"/>
        <v/>
      </c>
      <c r="R202" s="13"/>
      <c r="S202" s="10" t="str">
        <f t="shared" si="20"/>
        <v/>
      </c>
      <c r="T202" s="8"/>
      <c r="U202" s="7"/>
      <c r="V202" s="13"/>
      <c r="W202" s="9" t="str">
        <f t="shared" si="21"/>
        <v/>
      </c>
      <c r="X202" s="10" t="str">
        <f t="shared" si="22"/>
        <v/>
      </c>
      <c r="Y202" s="8"/>
      <c r="Z202" s="7"/>
      <c r="AA202" s="7"/>
      <c r="AB202" s="7"/>
      <c r="AC202" t="str">
        <f t="shared" si="23"/>
        <v/>
      </c>
    </row>
    <row r="203" spans="1:29" x14ac:dyDescent="0.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9" t="str">
        <f>IF(J203="","",IFERROR(INDEX(Products!$B$5:$B$89,MATCH(J203,Products!$A$5:$A$89,0)),"Check ID"))</f>
        <v/>
      </c>
      <c r="L203" s="7"/>
      <c r="M203" s="10" t="str">
        <f>IF(J203="","",IFERROR(INDEX(Products!$E$5:$E$89,MATCH(J203,Products!$A$5:$A$89,0)),0))</f>
        <v/>
      </c>
      <c r="N203" s="11" t="str">
        <f>IF(L203="","",IFERROR(VLOOKUP(L203,'Discount Slabs'!$A$5:$B$9,2,TRUE()),0))</f>
        <v/>
      </c>
      <c r="O203" s="12"/>
      <c r="P203" s="10" t="str">
        <f t="shared" si="18"/>
        <v/>
      </c>
      <c r="Q203" s="10" t="str">
        <f t="shared" si="19"/>
        <v/>
      </c>
      <c r="R203" s="13"/>
      <c r="S203" s="10" t="str">
        <f t="shared" si="20"/>
        <v/>
      </c>
      <c r="T203" s="8"/>
      <c r="U203" s="7"/>
      <c r="V203" s="13"/>
      <c r="W203" s="9" t="str">
        <f t="shared" si="21"/>
        <v/>
      </c>
      <c r="X203" s="10" t="str">
        <f t="shared" si="22"/>
        <v/>
      </c>
      <c r="Y203" s="8"/>
      <c r="Z203" s="7"/>
      <c r="AA203" s="7"/>
      <c r="AB203" s="7"/>
      <c r="AC203" t="str">
        <f t="shared" si="23"/>
        <v/>
      </c>
    </row>
    <row r="204" spans="1:29" x14ac:dyDescent="0.3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9" t="str">
        <f>IF(J204="","",IFERROR(INDEX(Products!$B$5:$B$89,MATCH(J204,Products!$A$5:$A$89,0)),"Check ID"))</f>
        <v/>
      </c>
      <c r="L204" s="7"/>
      <c r="M204" s="10" t="str">
        <f>IF(J204="","",IFERROR(INDEX(Products!$E$5:$E$89,MATCH(J204,Products!$A$5:$A$89,0)),0))</f>
        <v/>
      </c>
      <c r="N204" s="11" t="str">
        <f>IF(L204="","",IFERROR(VLOOKUP(L204,'Discount Slabs'!$A$5:$B$9,2,TRUE()),0))</f>
        <v/>
      </c>
      <c r="O204" s="12"/>
      <c r="P204" s="10" t="str">
        <f t="shared" si="18"/>
        <v/>
      </c>
      <c r="Q204" s="10" t="str">
        <f t="shared" si="19"/>
        <v/>
      </c>
      <c r="R204" s="13"/>
      <c r="S204" s="10" t="str">
        <f t="shared" si="20"/>
        <v/>
      </c>
      <c r="T204" s="8"/>
      <c r="U204" s="7"/>
      <c r="V204" s="13"/>
      <c r="W204" s="9" t="str">
        <f t="shared" si="21"/>
        <v/>
      </c>
      <c r="X204" s="10" t="str">
        <f t="shared" si="22"/>
        <v/>
      </c>
      <c r="Y204" s="8"/>
      <c r="Z204" s="7"/>
      <c r="AA204" s="7"/>
      <c r="AB204" s="7"/>
      <c r="AC204" t="str">
        <f t="shared" si="23"/>
        <v/>
      </c>
    </row>
    <row r="205" spans="1:29" x14ac:dyDescent="0.3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9" t="str">
        <f>IF(J205="","",IFERROR(INDEX(Products!$B$5:$B$89,MATCH(J205,Products!$A$5:$A$89,0)),"Check ID"))</f>
        <v/>
      </c>
      <c r="L205" s="7"/>
      <c r="M205" s="10" t="str">
        <f>IF(J205="","",IFERROR(INDEX(Products!$E$5:$E$89,MATCH(J205,Products!$A$5:$A$89,0)),0))</f>
        <v/>
      </c>
      <c r="N205" s="11" t="str">
        <f>IF(L205="","",IFERROR(VLOOKUP(L205,'Discount Slabs'!$A$5:$B$9,2,TRUE()),0))</f>
        <v/>
      </c>
      <c r="O205" s="12"/>
      <c r="P205" s="10" t="str">
        <f t="shared" si="18"/>
        <v/>
      </c>
      <c r="Q205" s="10" t="str">
        <f t="shared" si="19"/>
        <v/>
      </c>
      <c r="R205" s="13"/>
      <c r="S205" s="10" t="str">
        <f t="shared" si="20"/>
        <v/>
      </c>
      <c r="T205" s="8"/>
      <c r="U205" s="7"/>
      <c r="V205" s="13"/>
      <c r="W205" s="9" t="str">
        <f t="shared" si="21"/>
        <v/>
      </c>
      <c r="X205" s="10" t="str">
        <f t="shared" si="22"/>
        <v/>
      </c>
      <c r="Y205" s="8"/>
      <c r="Z205" s="7"/>
      <c r="AA205" s="7"/>
      <c r="AB205" s="7"/>
      <c r="AC205" t="str">
        <f t="shared" si="23"/>
        <v/>
      </c>
    </row>
    <row r="206" spans="1:29" x14ac:dyDescent="0.3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9" t="str">
        <f>IF(J206="","",IFERROR(INDEX(Products!$B$5:$B$89,MATCH(J206,Products!$A$5:$A$89,0)),"Check ID"))</f>
        <v/>
      </c>
      <c r="L206" s="7"/>
      <c r="M206" s="10" t="str">
        <f>IF(J206="","",IFERROR(INDEX(Products!$E$5:$E$89,MATCH(J206,Products!$A$5:$A$89,0)),0))</f>
        <v/>
      </c>
      <c r="N206" s="11" t="str">
        <f>IF(L206="","",IFERROR(VLOOKUP(L206,'Discount Slabs'!$A$5:$B$9,2,TRUE()),0))</f>
        <v/>
      </c>
      <c r="O206" s="12"/>
      <c r="P206" s="10" t="str">
        <f t="shared" si="18"/>
        <v/>
      </c>
      <c r="Q206" s="10" t="str">
        <f t="shared" si="19"/>
        <v/>
      </c>
      <c r="R206" s="13"/>
      <c r="S206" s="10" t="str">
        <f t="shared" si="20"/>
        <v/>
      </c>
      <c r="T206" s="8"/>
      <c r="U206" s="7"/>
      <c r="V206" s="13"/>
      <c r="W206" s="9" t="str">
        <f t="shared" si="21"/>
        <v/>
      </c>
      <c r="X206" s="10" t="str">
        <f t="shared" si="22"/>
        <v/>
      </c>
      <c r="Y206" s="8"/>
      <c r="Z206" s="7"/>
      <c r="AA206" s="7"/>
      <c r="AB206" s="7"/>
      <c r="AC206" t="str">
        <f t="shared" si="23"/>
        <v/>
      </c>
    </row>
    <row r="207" spans="1:29" x14ac:dyDescent="0.3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9" t="str">
        <f>IF(J207="","",IFERROR(INDEX(Products!$B$5:$B$89,MATCH(J207,Products!$A$5:$A$89,0)),"Check ID"))</f>
        <v/>
      </c>
      <c r="L207" s="7"/>
      <c r="M207" s="10" t="str">
        <f>IF(J207="","",IFERROR(INDEX(Products!$E$5:$E$89,MATCH(J207,Products!$A$5:$A$89,0)),0))</f>
        <v/>
      </c>
      <c r="N207" s="11" t="str">
        <f>IF(L207="","",IFERROR(VLOOKUP(L207,'Discount Slabs'!$A$5:$B$9,2,TRUE()),0))</f>
        <v/>
      </c>
      <c r="O207" s="12"/>
      <c r="P207" s="10" t="str">
        <f t="shared" si="18"/>
        <v/>
      </c>
      <c r="Q207" s="10" t="str">
        <f t="shared" si="19"/>
        <v/>
      </c>
      <c r="R207" s="13"/>
      <c r="S207" s="10" t="str">
        <f t="shared" si="20"/>
        <v/>
      </c>
      <c r="T207" s="8"/>
      <c r="U207" s="7"/>
      <c r="V207" s="13"/>
      <c r="W207" s="9" t="str">
        <f t="shared" si="21"/>
        <v/>
      </c>
      <c r="X207" s="10" t="str">
        <f t="shared" si="22"/>
        <v/>
      </c>
      <c r="Y207" s="8"/>
      <c r="Z207" s="7"/>
      <c r="AA207" s="7"/>
      <c r="AB207" s="7"/>
      <c r="AC207" t="str">
        <f t="shared" si="23"/>
        <v/>
      </c>
    </row>
    <row r="208" spans="1:29" x14ac:dyDescent="0.3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9" t="str">
        <f>IF(J208="","",IFERROR(INDEX(Products!$B$5:$B$89,MATCH(J208,Products!$A$5:$A$89,0)),"Check ID"))</f>
        <v/>
      </c>
      <c r="L208" s="7"/>
      <c r="M208" s="10" t="str">
        <f>IF(J208="","",IFERROR(INDEX(Products!$E$5:$E$89,MATCH(J208,Products!$A$5:$A$89,0)),0))</f>
        <v/>
      </c>
      <c r="N208" s="11" t="str">
        <f>IF(L208="","",IFERROR(VLOOKUP(L208,'Discount Slabs'!$A$5:$B$9,2,TRUE()),0))</f>
        <v/>
      </c>
      <c r="O208" s="12"/>
      <c r="P208" s="10" t="str">
        <f t="shared" si="18"/>
        <v/>
      </c>
      <c r="Q208" s="10" t="str">
        <f t="shared" si="19"/>
        <v/>
      </c>
      <c r="R208" s="13"/>
      <c r="S208" s="10" t="str">
        <f t="shared" si="20"/>
        <v/>
      </c>
      <c r="T208" s="8"/>
      <c r="U208" s="7"/>
      <c r="V208" s="13"/>
      <c r="W208" s="9" t="str">
        <f t="shared" si="21"/>
        <v/>
      </c>
      <c r="X208" s="10" t="str">
        <f t="shared" si="22"/>
        <v/>
      </c>
      <c r="Y208" s="8"/>
      <c r="Z208" s="7"/>
      <c r="AA208" s="7"/>
      <c r="AB208" s="7"/>
      <c r="AC208" t="str">
        <f t="shared" si="23"/>
        <v/>
      </c>
    </row>
    <row r="209" spans="1:29" x14ac:dyDescent="0.3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9" t="str">
        <f>IF(J209="","",IFERROR(INDEX(Products!$B$5:$B$89,MATCH(J209,Products!$A$5:$A$89,0)),"Check ID"))</f>
        <v/>
      </c>
      <c r="L209" s="7"/>
      <c r="M209" s="10" t="str">
        <f>IF(J209="","",IFERROR(INDEX(Products!$E$5:$E$89,MATCH(J209,Products!$A$5:$A$89,0)),0))</f>
        <v/>
      </c>
      <c r="N209" s="11" t="str">
        <f>IF(L209="","",IFERROR(VLOOKUP(L209,'Discount Slabs'!$A$5:$B$9,2,TRUE()),0))</f>
        <v/>
      </c>
      <c r="O209" s="12"/>
      <c r="P209" s="10" t="str">
        <f t="shared" si="18"/>
        <v/>
      </c>
      <c r="Q209" s="10" t="str">
        <f t="shared" si="19"/>
        <v/>
      </c>
      <c r="R209" s="13"/>
      <c r="S209" s="10" t="str">
        <f t="shared" si="20"/>
        <v/>
      </c>
      <c r="T209" s="8"/>
      <c r="U209" s="7"/>
      <c r="V209" s="13"/>
      <c r="W209" s="9" t="str">
        <f t="shared" si="21"/>
        <v/>
      </c>
      <c r="X209" s="10" t="str">
        <f t="shared" si="22"/>
        <v/>
      </c>
      <c r="Y209" s="8"/>
      <c r="Z209" s="7"/>
      <c r="AA209" s="7"/>
      <c r="AB209" s="7"/>
      <c r="AC209" t="str">
        <f t="shared" si="23"/>
        <v/>
      </c>
    </row>
    <row r="210" spans="1:29" x14ac:dyDescent="0.3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9" t="str">
        <f>IF(J210="","",IFERROR(INDEX(Products!$B$5:$B$89,MATCH(J210,Products!$A$5:$A$89,0)),"Check ID"))</f>
        <v/>
      </c>
      <c r="L210" s="7"/>
      <c r="M210" s="10" t="str">
        <f>IF(J210="","",IFERROR(INDEX(Products!$E$5:$E$89,MATCH(J210,Products!$A$5:$A$89,0)),0))</f>
        <v/>
      </c>
      <c r="N210" s="11" t="str">
        <f>IF(L210="","",IFERROR(VLOOKUP(L210,'Discount Slabs'!$A$5:$B$9,2,TRUE()),0))</f>
        <v/>
      </c>
      <c r="O210" s="12"/>
      <c r="P210" s="10" t="str">
        <f t="shared" si="18"/>
        <v/>
      </c>
      <c r="Q210" s="10" t="str">
        <f t="shared" si="19"/>
        <v/>
      </c>
      <c r="R210" s="13"/>
      <c r="S210" s="10" t="str">
        <f t="shared" si="20"/>
        <v/>
      </c>
      <c r="T210" s="8"/>
      <c r="U210" s="7"/>
      <c r="V210" s="13"/>
      <c r="W210" s="9" t="str">
        <f t="shared" si="21"/>
        <v/>
      </c>
      <c r="X210" s="10" t="str">
        <f t="shared" si="22"/>
        <v/>
      </c>
      <c r="Y210" s="8"/>
      <c r="Z210" s="7"/>
      <c r="AA210" s="7"/>
      <c r="AB210" s="7"/>
      <c r="AC210" t="str">
        <f t="shared" si="23"/>
        <v/>
      </c>
    </row>
    <row r="211" spans="1:29" x14ac:dyDescent="0.3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9" t="str">
        <f>IF(J211="","",IFERROR(INDEX(Products!$B$5:$B$89,MATCH(J211,Products!$A$5:$A$89,0)),"Check ID"))</f>
        <v/>
      </c>
      <c r="L211" s="7"/>
      <c r="M211" s="10" t="str">
        <f>IF(J211="","",IFERROR(INDEX(Products!$E$5:$E$89,MATCH(J211,Products!$A$5:$A$89,0)),0))</f>
        <v/>
      </c>
      <c r="N211" s="11" t="str">
        <f>IF(L211="","",IFERROR(VLOOKUP(L211,'Discount Slabs'!$A$5:$B$9,2,TRUE()),0))</f>
        <v/>
      </c>
      <c r="O211" s="12"/>
      <c r="P211" s="10" t="str">
        <f t="shared" si="18"/>
        <v/>
      </c>
      <c r="Q211" s="10" t="str">
        <f t="shared" si="19"/>
        <v/>
      </c>
      <c r="R211" s="13"/>
      <c r="S211" s="10" t="str">
        <f t="shared" si="20"/>
        <v/>
      </c>
      <c r="T211" s="8"/>
      <c r="U211" s="7"/>
      <c r="V211" s="13"/>
      <c r="W211" s="9" t="str">
        <f t="shared" si="21"/>
        <v/>
      </c>
      <c r="X211" s="10" t="str">
        <f t="shared" si="22"/>
        <v/>
      </c>
      <c r="Y211" s="8"/>
      <c r="Z211" s="7"/>
      <c r="AA211" s="7"/>
      <c r="AB211" s="7"/>
      <c r="AC211" t="str">
        <f t="shared" si="23"/>
        <v/>
      </c>
    </row>
    <row r="212" spans="1:29" x14ac:dyDescent="0.3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9" t="str">
        <f>IF(J212="","",IFERROR(INDEX(Products!$B$5:$B$89,MATCH(J212,Products!$A$5:$A$89,0)),"Check ID"))</f>
        <v/>
      </c>
      <c r="L212" s="7"/>
      <c r="M212" s="10" t="str">
        <f>IF(J212="","",IFERROR(INDEX(Products!$E$5:$E$89,MATCH(J212,Products!$A$5:$A$89,0)),0))</f>
        <v/>
      </c>
      <c r="N212" s="11" t="str">
        <f>IF(L212="","",IFERROR(VLOOKUP(L212,'Discount Slabs'!$A$5:$B$9,2,TRUE()),0))</f>
        <v/>
      </c>
      <c r="O212" s="12"/>
      <c r="P212" s="10" t="str">
        <f t="shared" si="18"/>
        <v/>
      </c>
      <c r="Q212" s="10" t="str">
        <f t="shared" si="19"/>
        <v/>
      </c>
      <c r="R212" s="13"/>
      <c r="S212" s="10" t="str">
        <f t="shared" si="20"/>
        <v/>
      </c>
      <c r="T212" s="8"/>
      <c r="U212" s="7"/>
      <c r="V212" s="13"/>
      <c r="W212" s="9" t="str">
        <f t="shared" si="21"/>
        <v/>
      </c>
      <c r="X212" s="10" t="str">
        <f t="shared" si="22"/>
        <v/>
      </c>
      <c r="Y212" s="8"/>
      <c r="Z212" s="7"/>
      <c r="AA212" s="7"/>
      <c r="AB212" s="7"/>
      <c r="AC212" t="str">
        <f t="shared" si="23"/>
        <v/>
      </c>
    </row>
    <row r="213" spans="1:29" x14ac:dyDescent="0.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9" t="str">
        <f>IF(J213="","",IFERROR(INDEX(Products!$B$5:$B$89,MATCH(J213,Products!$A$5:$A$89,0)),"Check ID"))</f>
        <v/>
      </c>
      <c r="L213" s="7"/>
      <c r="M213" s="10" t="str">
        <f>IF(J213="","",IFERROR(INDEX(Products!$E$5:$E$89,MATCH(J213,Products!$A$5:$A$89,0)),0))</f>
        <v/>
      </c>
      <c r="N213" s="11" t="str">
        <f>IF(L213="","",IFERROR(VLOOKUP(L213,'Discount Slabs'!$A$5:$B$9,2,TRUE()),0))</f>
        <v/>
      </c>
      <c r="O213" s="12"/>
      <c r="P213" s="10" t="str">
        <f t="shared" si="18"/>
        <v/>
      </c>
      <c r="Q213" s="10" t="str">
        <f t="shared" si="19"/>
        <v/>
      </c>
      <c r="R213" s="13"/>
      <c r="S213" s="10" t="str">
        <f t="shared" si="20"/>
        <v/>
      </c>
      <c r="T213" s="8"/>
      <c r="U213" s="7"/>
      <c r="V213" s="13"/>
      <c r="W213" s="9" t="str">
        <f t="shared" si="21"/>
        <v/>
      </c>
      <c r="X213" s="10" t="str">
        <f t="shared" si="22"/>
        <v/>
      </c>
      <c r="Y213" s="8"/>
      <c r="Z213" s="7"/>
      <c r="AA213" s="7"/>
      <c r="AB213" s="7"/>
      <c r="AC213" t="str">
        <f t="shared" si="23"/>
        <v/>
      </c>
    </row>
    <row r="214" spans="1:29" x14ac:dyDescent="0.3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9" t="str">
        <f>IF(J214="","",IFERROR(INDEX(Products!$B$5:$B$89,MATCH(J214,Products!$A$5:$A$89,0)),"Check ID"))</f>
        <v/>
      </c>
      <c r="L214" s="7"/>
      <c r="M214" s="10" t="str">
        <f>IF(J214="","",IFERROR(INDEX(Products!$E$5:$E$89,MATCH(J214,Products!$A$5:$A$89,0)),0))</f>
        <v/>
      </c>
      <c r="N214" s="11" t="str">
        <f>IF(L214="","",IFERROR(VLOOKUP(L214,'Discount Slabs'!$A$5:$B$9,2,TRUE()),0))</f>
        <v/>
      </c>
      <c r="O214" s="12"/>
      <c r="P214" s="10" t="str">
        <f t="shared" si="18"/>
        <v/>
      </c>
      <c r="Q214" s="10" t="str">
        <f t="shared" si="19"/>
        <v/>
      </c>
      <c r="R214" s="13"/>
      <c r="S214" s="10" t="str">
        <f t="shared" si="20"/>
        <v/>
      </c>
      <c r="T214" s="8"/>
      <c r="U214" s="7"/>
      <c r="V214" s="13"/>
      <c r="W214" s="9" t="str">
        <f t="shared" si="21"/>
        <v/>
      </c>
      <c r="X214" s="10" t="str">
        <f t="shared" si="22"/>
        <v/>
      </c>
      <c r="Y214" s="8"/>
      <c r="Z214" s="7"/>
      <c r="AA214" s="7"/>
      <c r="AB214" s="7"/>
      <c r="AC214" t="str">
        <f t="shared" si="23"/>
        <v/>
      </c>
    </row>
    <row r="215" spans="1:29" x14ac:dyDescent="0.3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9" t="str">
        <f>IF(J215="","",IFERROR(INDEX(Products!$B$5:$B$89,MATCH(J215,Products!$A$5:$A$89,0)),"Check ID"))</f>
        <v/>
      </c>
      <c r="L215" s="7"/>
      <c r="M215" s="10" t="str">
        <f>IF(J215="","",IFERROR(INDEX(Products!$E$5:$E$89,MATCH(J215,Products!$A$5:$A$89,0)),0))</f>
        <v/>
      </c>
      <c r="N215" s="11" t="str">
        <f>IF(L215="","",IFERROR(VLOOKUP(L215,'Discount Slabs'!$A$5:$B$9,2,TRUE()),0))</f>
        <v/>
      </c>
      <c r="O215" s="12"/>
      <c r="P215" s="10" t="str">
        <f t="shared" si="18"/>
        <v/>
      </c>
      <c r="Q215" s="10" t="str">
        <f t="shared" si="19"/>
        <v/>
      </c>
      <c r="R215" s="13"/>
      <c r="S215" s="10" t="str">
        <f t="shared" si="20"/>
        <v/>
      </c>
      <c r="T215" s="8"/>
      <c r="U215" s="7"/>
      <c r="V215" s="13"/>
      <c r="W215" s="9" t="str">
        <f t="shared" si="21"/>
        <v/>
      </c>
      <c r="X215" s="10" t="str">
        <f t="shared" si="22"/>
        <v/>
      </c>
      <c r="Y215" s="8"/>
      <c r="Z215" s="7"/>
      <c r="AA215" s="7"/>
      <c r="AB215" s="7"/>
      <c r="AC215" t="str">
        <f t="shared" si="23"/>
        <v/>
      </c>
    </row>
    <row r="216" spans="1:29" x14ac:dyDescent="0.3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9" t="str">
        <f>IF(J216="","",IFERROR(INDEX(Products!$B$5:$B$89,MATCH(J216,Products!$A$5:$A$89,0)),"Check ID"))</f>
        <v/>
      </c>
      <c r="L216" s="7"/>
      <c r="M216" s="10" t="str">
        <f>IF(J216="","",IFERROR(INDEX(Products!$E$5:$E$89,MATCH(J216,Products!$A$5:$A$89,0)),0))</f>
        <v/>
      </c>
      <c r="N216" s="11" t="str">
        <f>IF(L216="","",IFERROR(VLOOKUP(L216,'Discount Slabs'!$A$5:$B$9,2,TRUE()),0))</f>
        <v/>
      </c>
      <c r="O216" s="12"/>
      <c r="P216" s="10" t="str">
        <f t="shared" si="18"/>
        <v/>
      </c>
      <c r="Q216" s="10" t="str">
        <f t="shared" si="19"/>
        <v/>
      </c>
      <c r="R216" s="13"/>
      <c r="S216" s="10" t="str">
        <f t="shared" si="20"/>
        <v/>
      </c>
      <c r="T216" s="8"/>
      <c r="U216" s="7"/>
      <c r="V216" s="13"/>
      <c r="W216" s="9" t="str">
        <f t="shared" si="21"/>
        <v/>
      </c>
      <c r="X216" s="10" t="str">
        <f t="shared" si="22"/>
        <v/>
      </c>
      <c r="Y216" s="8"/>
      <c r="Z216" s="7"/>
      <c r="AA216" s="7"/>
      <c r="AB216" s="7"/>
      <c r="AC216" t="str">
        <f t="shared" si="23"/>
        <v/>
      </c>
    </row>
    <row r="217" spans="1:29" x14ac:dyDescent="0.3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9" t="str">
        <f>IF(J217="","",IFERROR(INDEX(Products!$B$5:$B$89,MATCH(J217,Products!$A$5:$A$89,0)),"Check ID"))</f>
        <v/>
      </c>
      <c r="L217" s="7"/>
      <c r="M217" s="10" t="str">
        <f>IF(J217="","",IFERROR(INDEX(Products!$E$5:$E$89,MATCH(J217,Products!$A$5:$A$89,0)),0))</f>
        <v/>
      </c>
      <c r="N217" s="11" t="str">
        <f>IF(L217="","",IFERROR(VLOOKUP(L217,'Discount Slabs'!$A$5:$B$9,2,TRUE()),0))</f>
        <v/>
      </c>
      <c r="O217" s="12"/>
      <c r="P217" s="10" t="str">
        <f t="shared" si="18"/>
        <v/>
      </c>
      <c r="Q217" s="10" t="str">
        <f t="shared" si="19"/>
        <v/>
      </c>
      <c r="R217" s="13"/>
      <c r="S217" s="10" t="str">
        <f t="shared" si="20"/>
        <v/>
      </c>
      <c r="T217" s="8"/>
      <c r="U217" s="7"/>
      <c r="V217" s="13"/>
      <c r="W217" s="9" t="str">
        <f t="shared" si="21"/>
        <v/>
      </c>
      <c r="X217" s="10" t="str">
        <f t="shared" si="22"/>
        <v/>
      </c>
      <c r="Y217" s="8"/>
      <c r="Z217" s="7"/>
      <c r="AA217" s="7"/>
      <c r="AB217" s="7"/>
      <c r="AC217" t="str">
        <f t="shared" si="23"/>
        <v/>
      </c>
    </row>
    <row r="218" spans="1:29" x14ac:dyDescent="0.3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9" t="str">
        <f>IF(J218="","",IFERROR(INDEX(Products!$B$5:$B$89,MATCH(J218,Products!$A$5:$A$89,0)),"Check ID"))</f>
        <v/>
      </c>
      <c r="L218" s="7"/>
      <c r="M218" s="10" t="str">
        <f>IF(J218="","",IFERROR(INDEX(Products!$E$5:$E$89,MATCH(J218,Products!$A$5:$A$89,0)),0))</f>
        <v/>
      </c>
      <c r="N218" s="11" t="str">
        <f>IF(L218="","",IFERROR(VLOOKUP(L218,'Discount Slabs'!$A$5:$B$9,2,TRUE()),0))</f>
        <v/>
      </c>
      <c r="O218" s="12"/>
      <c r="P218" s="10" t="str">
        <f t="shared" si="18"/>
        <v/>
      </c>
      <c r="Q218" s="10" t="str">
        <f t="shared" si="19"/>
        <v/>
      </c>
      <c r="R218" s="13"/>
      <c r="S218" s="10" t="str">
        <f t="shared" si="20"/>
        <v/>
      </c>
      <c r="T218" s="8"/>
      <c r="U218" s="7"/>
      <c r="V218" s="13"/>
      <c r="W218" s="9" t="str">
        <f t="shared" si="21"/>
        <v/>
      </c>
      <c r="X218" s="10" t="str">
        <f t="shared" si="22"/>
        <v/>
      </c>
      <c r="Y218" s="8"/>
      <c r="Z218" s="7"/>
      <c r="AA218" s="7"/>
      <c r="AB218" s="7"/>
      <c r="AC218" t="str">
        <f t="shared" si="23"/>
        <v/>
      </c>
    </row>
    <row r="219" spans="1:29" x14ac:dyDescent="0.3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9" t="str">
        <f>IF(J219="","",IFERROR(INDEX(Products!$B$5:$B$89,MATCH(J219,Products!$A$5:$A$89,0)),"Check ID"))</f>
        <v/>
      </c>
      <c r="L219" s="7"/>
      <c r="M219" s="10" t="str">
        <f>IF(J219="","",IFERROR(INDEX(Products!$E$5:$E$89,MATCH(J219,Products!$A$5:$A$89,0)),0))</f>
        <v/>
      </c>
      <c r="N219" s="11" t="str">
        <f>IF(L219="","",IFERROR(VLOOKUP(L219,'Discount Slabs'!$A$5:$B$9,2,TRUE()),0))</f>
        <v/>
      </c>
      <c r="O219" s="12"/>
      <c r="P219" s="10" t="str">
        <f t="shared" si="18"/>
        <v/>
      </c>
      <c r="Q219" s="10" t="str">
        <f t="shared" si="19"/>
        <v/>
      </c>
      <c r="R219" s="13"/>
      <c r="S219" s="10" t="str">
        <f t="shared" si="20"/>
        <v/>
      </c>
      <c r="T219" s="8"/>
      <c r="U219" s="7"/>
      <c r="V219" s="13"/>
      <c r="W219" s="9" t="str">
        <f t="shared" si="21"/>
        <v/>
      </c>
      <c r="X219" s="10" t="str">
        <f t="shared" si="22"/>
        <v/>
      </c>
      <c r="Y219" s="8"/>
      <c r="Z219" s="7"/>
      <c r="AA219" s="7"/>
      <c r="AB219" s="7"/>
      <c r="AC219" t="str">
        <f t="shared" si="23"/>
        <v/>
      </c>
    </row>
    <row r="220" spans="1:29" x14ac:dyDescent="0.3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9" t="str">
        <f>IF(J220="","",IFERROR(INDEX(Products!$B$5:$B$89,MATCH(J220,Products!$A$5:$A$89,0)),"Check ID"))</f>
        <v/>
      </c>
      <c r="L220" s="7"/>
      <c r="M220" s="10" t="str">
        <f>IF(J220="","",IFERROR(INDEX(Products!$E$5:$E$89,MATCH(J220,Products!$A$5:$A$89,0)),0))</f>
        <v/>
      </c>
      <c r="N220" s="11" t="str">
        <f>IF(L220="","",IFERROR(VLOOKUP(L220,'Discount Slabs'!$A$5:$B$9,2,TRUE()),0))</f>
        <v/>
      </c>
      <c r="O220" s="12"/>
      <c r="P220" s="10" t="str">
        <f t="shared" si="18"/>
        <v/>
      </c>
      <c r="Q220" s="10" t="str">
        <f t="shared" si="19"/>
        <v/>
      </c>
      <c r="R220" s="13"/>
      <c r="S220" s="10" t="str">
        <f t="shared" si="20"/>
        <v/>
      </c>
      <c r="T220" s="8"/>
      <c r="U220" s="7"/>
      <c r="V220" s="13"/>
      <c r="W220" s="9" t="str">
        <f t="shared" si="21"/>
        <v/>
      </c>
      <c r="X220" s="10" t="str">
        <f t="shared" si="22"/>
        <v/>
      </c>
      <c r="Y220" s="8"/>
      <c r="Z220" s="7"/>
      <c r="AA220" s="7"/>
      <c r="AB220" s="7"/>
      <c r="AC220" t="str">
        <f t="shared" si="23"/>
        <v/>
      </c>
    </row>
    <row r="221" spans="1:29" x14ac:dyDescent="0.3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9" t="str">
        <f>IF(J221="","",IFERROR(INDEX(Products!$B$5:$B$89,MATCH(J221,Products!$A$5:$A$89,0)),"Check ID"))</f>
        <v/>
      </c>
      <c r="L221" s="7"/>
      <c r="M221" s="10" t="str">
        <f>IF(J221="","",IFERROR(INDEX(Products!$E$5:$E$89,MATCH(J221,Products!$A$5:$A$89,0)),0))</f>
        <v/>
      </c>
      <c r="N221" s="11" t="str">
        <f>IF(L221="","",IFERROR(VLOOKUP(L221,'Discount Slabs'!$A$5:$B$9,2,TRUE()),0))</f>
        <v/>
      </c>
      <c r="O221" s="12"/>
      <c r="P221" s="10" t="str">
        <f t="shared" si="18"/>
        <v/>
      </c>
      <c r="Q221" s="10" t="str">
        <f t="shared" si="19"/>
        <v/>
      </c>
      <c r="R221" s="13"/>
      <c r="S221" s="10" t="str">
        <f t="shared" si="20"/>
        <v/>
      </c>
      <c r="T221" s="8"/>
      <c r="U221" s="7"/>
      <c r="V221" s="13"/>
      <c r="W221" s="9" t="str">
        <f t="shared" si="21"/>
        <v/>
      </c>
      <c r="X221" s="10" t="str">
        <f t="shared" si="22"/>
        <v/>
      </c>
      <c r="Y221" s="8"/>
      <c r="Z221" s="7"/>
      <c r="AA221" s="7"/>
      <c r="AB221" s="7"/>
      <c r="AC221" t="str">
        <f t="shared" si="23"/>
        <v/>
      </c>
    </row>
    <row r="222" spans="1:29" x14ac:dyDescent="0.3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9" t="str">
        <f>IF(J222="","",IFERROR(INDEX(Products!$B$5:$B$89,MATCH(J222,Products!$A$5:$A$89,0)),"Check ID"))</f>
        <v/>
      </c>
      <c r="L222" s="7"/>
      <c r="M222" s="10" t="str">
        <f>IF(J222="","",IFERROR(INDEX(Products!$E$5:$E$89,MATCH(J222,Products!$A$5:$A$89,0)),0))</f>
        <v/>
      </c>
      <c r="N222" s="11" t="str">
        <f>IF(L222="","",IFERROR(VLOOKUP(L222,'Discount Slabs'!$A$5:$B$9,2,TRUE()),0))</f>
        <v/>
      </c>
      <c r="O222" s="12"/>
      <c r="P222" s="10" t="str">
        <f t="shared" si="18"/>
        <v/>
      </c>
      <c r="Q222" s="10" t="str">
        <f t="shared" si="19"/>
        <v/>
      </c>
      <c r="R222" s="13"/>
      <c r="S222" s="10" t="str">
        <f t="shared" si="20"/>
        <v/>
      </c>
      <c r="T222" s="8"/>
      <c r="U222" s="7"/>
      <c r="V222" s="13"/>
      <c r="W222" s="9" t="str">
        <f t="shared" si="21"/>
        <v/>
      </c>
      <c r="X222" s="10" t="str">
        <f t="shared" si="22"/>
        <v/>
      </c>
      <c r="Y222" s="8"/>
      <c r="Z222" s="7"/>
      <c r="AA222" s="7"/>
      <c r="AB222" s="7"/>
      <c r="AC222" t="str">
        <f t="shared" si="23"/>
        <v/>
      </c>
    </row>
    <row r="223" spans="1:29" x14ac:dyDescent="0.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9" t="str">
        <f>IF(J223="","",IFERROR(INDEX(Products!$B$5:$B$89,MATCH(J223,Products!$A$5:$A$89,0)),"Check ID"))</f>
        <v/>
      </c>
      <c r="L223" s="7"/>
      <c r="M223" s="10" t="str">
        <f>IF(J223="","",IFERROR(INDEX(Products!$E$5:$E$89,MATCH(J223,Products!$A$5:$A$89,0)),0))</f>
        <v/>
      </c>
      <c r="N223" s="11" t="str">
        <f>IF(L223="","",IFERROR(VLOOKUP(L223,'Discount Slabs'!$A$5:$B$9,2,TRUE()),0))</f>
        <v/>
      </c>
      <c r="O223" s="12"/>
      <c r="P223" s="10" t="str">
        <f t="shared" si="18"/>
        <v/>
      </c>
      <c r="Q223" s="10" t="str">
        <f t="shared" si="19"/>
        <v/>
      </c>
      <c r="R223" s="13"/>
      <c r="S223" s="10" t="str">
        <f t="shared" si="20"/>
        <v/>
      </c>
      <c r="T223" s="8"/>
      <c r="U223" s="7"/>
      <c r="V223" s="13"/>
      <c r="W223" s="9" t="str">
        <f t="shared" si="21"/>
        <v/>
      </c>
      <c r="X223" s="10" t="str">
        <f t="shared" si="22"/>
        <v/>
      </c>
      <c r="Y223" s="8"/>
      <c r="Z223" s="7"/>
      <c r="AA223" s="7"/>
      <c r="AB223" s="7"/>
      <c r="AC223" t="str">
        <f t="shared" si="23"/>
        <v/>
      </c>
    </row>
    <row r="224" spans="1:29" x14ac:dyDescent="0.3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9" t="str">
        <f>IF(J224="","",IFERROR(INDEX(Products!$B$5:$B$89,MATCH(J224,Products!$A$5:$A$89,0)),"Check ID"))</f>
        <v/>
      </c>
      <c r="L224" s="7"/>
      <c r="M224" s="10" t="str">
        <f>IF(J224="","",IFERROR(INDEX(Products!$E$5:$E$89,MATCH(J224,Products!$A$5:$A$89,0)),0))</f>
        <v/>
      </c>
      <c r="N224" s="11" t="str">
        <f>IF(L224="","",IFERROR(VLOOKUP(L224,'Discount Slabs'!$A$5:$B$9,2,TRUE()),0))</f>
        <v/>
      </c>
      <c r="O224" s="12"/>
      <c r="P224" s="10" t="str">
        <f t="shared" si="18"/>
        <v/>
      </c>
      <c r="Q224" s="10" t="str">
        <f t="shared" si="19"/>
        <v/>
      </c>
      <c r="R224" s="13"/>
      <c r="S224" s="10" t="str">
        <f t="shared" si="20"/>
        <v/>
      </c>
      <c r="T224" s="8"/>
      <c r="U224" s="7"/>
      <c r="V224" s="13"/>
      <c r="W224" s="9" t="str">
        <f t="shared" si="21"/>
        <v/>
      </c>
      <c r="X224" s="10" t="str">
        <f t="shared" si="22"/>
        <v/>
      </c>
      <c r="Y224" s="8"/>
      <c r="Z224" s="7"/>
      <c r="AA224" s="7"/>
      <c r="AB224" s="7"/>
      <c r="AC224" t="str">
        <f t="shared" si="23"/>
        <v/>
      </c>
    </row>
    <row r="225" spans="1:29" x14ac:dyDescent="0.3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9" t="str">
        <f>IF(J225="","",IFERROR(INDEX(Products!$B$5:$B$89,MATCH(J225,Products!$A$5:$A$89,0)),"Check ID"))</f>
        <v/>
      </c>
      <c r="L225" s="7"/>
      <c r="M225" s="10" t="str">
        <f>IF(J225="","",IFERROR(INDEX(Products!$E$5:$E$89,MATCH(J225,Products!$A$5:$A$89,0)),0))</f>
        <v/>
      </c>
      <c r="N225" s="11" t="str">
        <f>IF(L225="","",IFERROR(VLOOKUP(L225,'Discount Slabs'!$A$5:$B$9,2,TRUE()),0))</f>
        <v/>
      </c>
      <c r="O225" s="12"/>
      <c r="P225" s="10" t="str">
        <f t="shared" si="18"/>
        <v/>
      </c>
      <c r="Q225" s="10" t="str">
        <f t="shared" si="19"/>
        <v/>
      </c>
      <c r="R225" s="13"/>
      <c r="S225" s="10" t="str">
        <f t="shared" si="20"/>
        <v/>
      </c>
      <c r="T225" s="8"/>
      <c r="U225" s="7"/>
      <c r="V225" s="13"/>
      <c r="W225" s="9" t="str">
        <f t="shared" si="21"/>
        <v/>
      </c>
      <c r="X225" s="10" t="str">
        <f t="shared" si="22"/>
        <v/>
      </c>
      <c r="Y225" s="8"/>
      <c r="Z225" s="7"/>
      <c r="AA225" s="7"/>
      <c r="AB225" s="7"/>
      <c r="AC225" t="str">
        <f t="shared" si="23"/>
        <v/>
      </c>
    </row>
    <row r="226" spans="1:29" x14ac:dyDescent="0.3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9" t="str">
        <f>IF(J226="","",IFERROR(INDEX(Products!$B$5:$B$89,MATCH(J226,Products!$A$5:$A$89,0)),"Check ID"))</f>
        <v/>
      </c>
      <c r="L226" s="7"/>
      <c r="M226" s="10" t="str">
        <f>IF(J226="","",IFERROR(INDEX(Products!$E$5:$E$89,MATCH(J226,Products!$A$5:$A$89,0)),0))</f>
        <v/>
      </c>
      <c r="N226" s="11" t="str">
        <f>IF(L226="","",IFERROR(VLOOKUP(L226,'Discount Slabs'!$A$5:$B$9,2,TRUE()),0))</f>
        <v/>
      </c>
      <c r="O226" s="12"/>
      <c r="P226" s="10" t="str">
        <f t="shared" si="18"/>
        <v/>
      </c>
      <c r="Q226" s="10" t="str">
        <f t="shared" si="19"/>
        <v/>
      </c>
      <c r="R226" s="13"/>
      <c r="S226" s="10" t="str">
        <f t="shared" si="20"/>
        <v/>
      </c>
      <c r="T226" s="8"/>
      <c r="U226" s="7"/>
      <c r="V226" s="13"/>
      <c r="W226" s="9" t="str">
        <f t="shared" si="21"/>
        <v/>
      </c>
      <c r="X226" s="10" t="str">
        <f t="shared" si="22"/>
        <v/>
      </c>
      <c r="Y226" s="8"/>
      <c r="Z226" s="7"/>
      <c r="AA226" s="7"/>
      <c r="AB226" s="7"/>
      <c r="AC226" t="str">
        <f t="shared" si="23"/>
        <v/>
      </c>
    </row>
    <row r="227" spans="1:29" x14ac:dyDescent="0.3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9" t="str">
        <f>IF(J227="","",IFERROR(INDEX(Products!$B$5:$B$89,MATCH(J227,Products!$A$5:$A$89,0)),"Check ID"))</f>
        <v/>
      </c>
      <c r="L227" s="7"/>
      <c r="M227" s="10" t="str">
        <f>IF(J227="","",IFERROR(INDEX(Products!$E$5:$E$89,MATCH(J227,Products!$A$5:$A$89,0)),0))</f>
        <v/>
      </c>
      <c r="N227" s="11" t="str">
        <f>IF(L227="","",IFERROR(VLOOKUP(L227,'Discount Slabs'!$A$5:$B$9,2,TRUE()),0))</f>
        <v/>
      </c>
      <c r="O227" s="12"/>
      <c r="P227" s="10" t="str">
        <f t="shared" si="18"/>
        <v/>
      </c>
      <c r="Q227" s="10" t="str">
        <f t="shared" si="19"/>
        <v/>
      </c>
      <c r="R227" s="13"/>
      <c r="S227" s="10" t="str">
        <f t="shared" si="20"/>
        <v/>
      </c>
      <c r="T227" s="8"/>
      <c r="U227" s="7"/>
      <c r="V227" s="13"/>
      <c r="W227" s="9" t="str">
        <f t="shared" si="21"/>
        <v/>
      </c>
      <c r="X227" s="10" t="str">
        <f t="shared" si="22"/>
        <v/>
      </c>
      <c r="Y227" s="8"/>
      <c r="Z227" s="7"/>
      <c r="AA227" s="7"/>
      <c r="AB227" s="7"/>
      <c r="AC227" t="str">
        <f t="shared" si="23"/>
        <v/>
      </c>
    </row>
    <row r="228" spans="1:29" x14ac:dyDescent="0.3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9" t="str">
        <f>IF(J228="","",IFERROR(INDEX(Products!$B$5:$B$89,MATCH(J228,Products!$A$5:$A$89,0)),"Check ID"))</f>
        <v/>
      </c>
      <c r="L228" s="7"/>
      <c r="M228" s="10" t="str">
        <f>IF(J228="","",IFERROR(INDEX(Products!$E$5:$E$89,MATCH(J228,Products!$A$5:$A$89,0)),0))</f>
        <v/>
      </c>
      <c r="N228" s="11" t="str">
        <f>IF(L228="","",IFERROR(VLOOKUP(L228,'Discount Slabs'!$A$5:$B$9,2,TRUE()),0))</f>
        <v/>
      </c>
      <c r="O228" s="12"/>
      <c r="P228" s="10" t="str">
        <f t="shared" si="18"/>
        <v/>
      </c>
      <c r="Q228" s="10" t="str">
        <f t="shared" si="19"/>
        <v/>
      </c>
      <c r="R228" s="13"/>
      <c r="S228" s="10" t="str">
        <f t="shared" si="20"/>
        <v/>
      </c>
      <c r="T228" s="8"/>
      <c r="U228" s="7"/>
      <c r="V228" s="13"/>
      <c r="W228" s="9" t="str">
        <f t="shared" si="21"/>
        <v/>
      </c>
      <c r="X228" s="10" t="str">
        <f t="shared" si="22"/>
        <v/>
      </c>
      <c r="Y228" s="8"/>
      <c r="Z228" s="7"/>
      <c r="AA228" s="7"/>
      <c r="AB228" s="7"/>
      <c r="AC228" t="str">
        <f t="shared" si="23"/>
        <v/>
      </c>
    </row>
    <row r="229" spans="1:29" x14ac:dyDescent="0.3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9" t="str">
        <f>IF(J229="","",IFERROR(INDEX(Products!$B$5:$B$89,MATCH(J229,Products!$A$5:$A$89,0)),"Check ID"))</f>
        <v/>
      </c>
      <c r="L229" s="7"/>
      <c r="M229" s="10" t="str">
        <f>IF(J229="","",IFERROR(INDEX(Products!$E$5:$E$89,MATCH(J229,Products!$A$5:$A$89,0)),0))</f>
        <v/>
      </c>
      <c r="N229" s="11" t="str">
        <f>IF(L229="","",IFERROR(VLOOKUP(L229,'Discount Slabs'!$A$5:$B$9,2,TRUE()),0))</f>
        <v/>
      </c>
      <c r="O229" s="12"/>
      <c r="P229" s="10" t="str">
        <f t="shared" si="18"/>
        <v/>
      </c>
      <c r="Q229" s="10" t="str">
        <f t="shared" si="19"/>
        <v/>
      </c>
      <c r="R229" s="13"/>
      <c r="S229" s="10" t="str">
        <f t="shared" si="20"/>
        <v/>
      </c>
      <c r="T229" s="8"/>
      <c r="U229" s="7"/>
      <c r="V229" s="13"/>
      <c r="W229" s="9" t="str">
        <f t="shared" si="21"/>
        <v/>
      </c>
      <c r="X229" s="10" t="str">
        <f t="shared" si="22"/>
        <v/>
      </c>
      <c r="Y229" s="8"/>
      <c r="Z229" s="7"/>
      <c r="AA229" s="7"/>
      <c r="AB229" s="7"/>
      <c r="AC229" t="str">
        <f t="shared" si="23"/>
        <v/>
      </c>
    </row>
    <row r="230" spans="1:29" x14ac:dyDescent="0.3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9" t="str">
        <f>IF(J230="","",IFERROR(INDEX(Products!$B$5:$B$89,MATCH(J230,Products!$A$5:$A$89,0)),"Check ID"))</f>
        <v/>
      </c>
      <c r="L230" s="7"/>
      <c r="M230" s="10" t="str">
        <f>IF(J230="","",IFERROR(INDEX(Products!$E$5:$E$89,MATCH(J230,Products!$A$5:$A$89,0)),0))</f>
        <v/>
      </c>
      <c r="N230" s="11" t="str">
        <f>IF(L230="","",IFERROR(VLOOKUP(L230,'Discount Slabs'!$A$5:$B$9,2,TRUE()),0))</f>
        <v/>
      </c>
      <c r="O230" s="12"/>
      <c r="P230" s="10" t="str">
        <f t="shared" si="18"/>
        <v/>
      </c>
      <c r="Q230" s="10" t="str">
        <f t="shared" si="19"/>
        <v/>
      </c>
      <c r="R230" s="13"/>
      <c r="S230" s="10" t="str">
        <f t="shared" si="20"/>
        <v/>
      </c>
      <c r="T230" s="8"/>
      <c r="U230" s="7"/>
      <c r="V230" s="13"/>
      <c r="W230" s="9" t="str">
        <f t="shared" si="21"/>
        <v/>
      </c>
      <c r="X230" s="10" t="str">
        <f t="shared" si="22"/>
        <v/>
      </c>
      <c r="Y230" s="8"/>
      <c r="Z230" s="7"/>
      <c r="AA230" s="7"/>
      <c r="AB230" s="7"/>
      <c r="AC230" t="str">
        <f t="shared" si="23"/>
        <v/>
      </c>
    </row>
    <row r="231" spans="1:29" x14ac:dyDescent="0.3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9" t="str">
        <f>IF(J231="","",IFERROR(INDEX(Products!$B$5:$B$89,MATCH(J231,Products!$A$5:$A$89,0)),"Check ID"))</f>
        <v/>
      </c>
      <c r="L231" s="7"/>
      <c r="M231" s="10" t="str">
        <f>IF(J231="","",IFERROR(INDEX(Products!$E$5:$E$89,MATCH(J231,Products!$A$5:$A$89,0)),0))</f>
        <v/>
      </c>
      <c r="N231" s="11" t="str">
        <f>IF(L231="","",IFERROR(VLOOKUP(L231,'Discount Slabs'!$A$5:$B$9,2,TRUE()),0))</f>
        <v/>
      </c>
      <c r="O231" s="12"/>
      <c r="P231" s="10" t="str">
        <f t="shared" si="18"/>
        <v/>
      </c>
      <c r="Q231" s="10" t="str">
        <f t="shared" si="19"/>
        <v/>
      </c>
      <c r="R231" s="13"/>
      <c r="S231" s="10" t="str">
        <f t="shared" si="20"/>
        <v/>
      </c>
      <c r="T231" s="8"/>
      <c r="U231" s="7"/>
      <c r="V231" s="13"/>
      <c r="W231" s="9" t="str">
        <f t="shared" si="21"/>
        <v/>
      </c>
      <c r="X231" s="10" t="str">
        <f t="shared" si="22"/>
        <v/>
      </c>
      <c r="Y231" s="8"/>
      <c r="Z231" s="7"/>
      <c r="AA231" s="7"/>
      <c r="AB231" s="7"/>
      <c r="AC231" t="str">
        <f t="shared" si="23"/>
        <v/>
      </c>
    </row>
    <row r="232" spans="1:29" x14ac:dyDescent="0.3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9" t="str">
        <f>IF(J232="","",IFERROR(INDEX(Products!$B$5:$B$89,MATCH(J232,Products!$A$5:$A$89,0)),"Check ID"))</f>
        <v/>
      </c>
      <c r="L232" s="7"/>
      <c r="M232" s="10" t="str">
        <f>IF(J232="","",IFERROR(INDEX(Products!$E$5:$E$89,MATCH(J232,Products!$A$5:$A$89,0)),0))</f>
        <v/>
      </c>
      <c r="N232" s="11" t="str">
        <f>IF(L232="","",IFERROR(VLOOKUP(L232,'Discount Slabs'!$A$5:$B$9,2,TRUE()),0))</f>
        <v/>
      </c>
      <c r="O232" s="12"/>
      <c r="P232" s="10" t="str">
        <f t="shared" si="18"/>
        <v/>
      </c>
      <c r="Q232" s="10" t="str">
        <f t="shared" si="19"/>
        <v/>
      </c>
      <c r="R232" s="13"/>
      <c r="S232" s="10" t="str">
        <f t="shared" si="20"/>
        <v/>
      </c>
      <c r="T232" s="8"/>
      <c r="U232" s="7"/>
      <c r="V232" s="13"/>
      <c r="W232" s="9" t="str">
        <f t="shared" si="21"/>
        <v/>
      </c>
      <c r="X232" s="10" t="str">
        <f t="shared" si="22"/>
        <v/>
      </c>
      <c r="Y232" s="8"/>
      <c r="Z232" s="7"/>
      <c r="AA232" s="7"/>
      <c r="AB232" s="7"/>
      <c r="AC232" t="str">
        <f t="shared" si="23"/>
        <v/>
      </c>
    </row>
    <row r="233" spans="1:29" x14ac:dyDescent="0.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9" t="str">
        <f>IF(J233="","",IFERROR(INDEX(Products!$B$5:$B$89,MATCH(J233,Products!$A$5:$A$89,0)),"Check ID"))</f>
        <v/>
      </c>
      <c r="L233" s="7"/>
      <c r="M233" s="10" t="str">
        <f>IF(J233="","",IFERROR(INDEX(Products!$E$5:$E$89,MATCH(J233,Products!$A$5:$A$89,0)),0))</f>
        <v/>
      </c>
      <c r="N233" s="11" t="str">
        <f>IF(L233="","",IFERROR(VLOOKUP(L233,'Discount Slabs'!$A$5:$B$9,2,TRUE()),0))</f>
        <v/>
      </c>
      <c r="O233" s="12"/>
      <c r="P233" s="10" t="str">
        <f t="shared" si="18"/>
        <v/>
      </c>
      <c r="Q233" s="10" t="str">
        <f t="shared" si="19"/>
        <v/>
      </c>
      <c r="R233" s="13"/>
      <c r="S233" s="10" t="str">
        <f t="shared" si="20"/>
        <v/>
      </c>
      <c r="T233" s="8"/>
      <c r="U233" s="7"/>
      <c r="V233" s="13"/>
      <c r="W233" s="9" t="str">
        <f t="shared" si="21"/>
        <v/>
      </c>
      <c r="X233" s="10" t="str">
        <f t="shared" si="22"/>
        <v/>
      </c>
      <c r="Y233" s="8"/>
      <c r="Z233" s="7"/>
      <c r="AA233" s="7"/>
      <c r="AB233" s="7"/>
      <c r="AC233" t="str">
        <f t="shared" si="23"/>
        <v/>
      </c>
    </row>
    <row r="234" spans="1:29" x14ac:dyDescent="0.3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9" t="str">
        <f>IF(J234="","",IFERROR(INDEX(Products!$B$5:$B$89,MATCH(J234,Products!$A$5:$A$89,0)),"Check ID"))</f>
        <v/>
      </c>
      <c r="L234" s="7"/>
      <c r="M234" s="10" t="str">
        <f>IF(J234="","",IFERROR(INDEX(Products!$E$5:$E$89,MATCH(J234,Products!$A$5:$A$89,0)),0))</f>
        <v/>
      </c>
      <c r="N234" s="11" t="str">
        <f>IF(L234="","",IFERROR(VLOOKUP(L234,'Discount Slabs'!$A$5:$B$9,2,TRUE()),0))</f>
        <v/>
      </c>
      <c r="O234" s="12"/>
      <c r="P234" s="10" t="str">
        <f t="shared" si="18"/>
        <v/>
      </c>
      <c r="Q234" s="10" t="str">
        <f t="shared" si="19"/>
        <v/>
      </c>
      <c r="R234" s="13"/>
      <c r="S234" s="10" t="str">
        <f t="shared" si="20"/>
        <v/>
      </c>
      <c r="T234" s="8"/>
      <c r="U234" s="7"/>
      <c r="V234" s="13"/>
      <c r="W234" s="9" t="str">
        <f t="shared" si="21"/>
        <v/>
      </c>
      <c r="X234" s="10" t="str">
        <f t="shared" si="22"/>
        <v/>
      </c>
      <c r="Y234" s="8"/>
      <c r="Z234" s="7"/>
      <c r="AA234" s="7"/>
      <c r="AB234" s="7"/>
      <c r="AC234" t="str">
        <f t="shared" si="23"/>
        <v/>
      </c>
    </row>
    <row r="235" spans="1:29" x14ac:dyDescent="0.3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9" t="str">
        <f>IF(J235="","",IFERROR(INDEX(Products!$B$5:$B$89,MATCH(J235,Products!$A$5:$A$89,0)),"Check ID"))</f>
        <v/>
      </c>
      <c r="L235" s="7"/>
      <c r="M235" s="10" t="str">
        <f>IF(J235="","",IFERROR(INDEX(Products!$E$5:$E$89,MATCH(J235,Products!$A$5:$A$89,0)),0))</f>
        <v/>
      </c>
      <c r="N235" s="11" t="str">
        <f>IF(L235="","",IFERROR(VLOOKUP(L235,'Discount Slabs'!$A$5:$B$9,2,TRUE()),0))</f>
        <v/>
      </c>
      <c r="O235" s="12"/>
      <c r="P235" s="10" t="str">
        <f t="shared" si="18"/>
        <v/>
      </c>
      <c r="Q235" s="10" t="str">
        <f t="shared" si="19"/>
        <v/>
      </c>
      <c r="R235" s="13"/>
      <c r="S235" s="10" t="str">
        <f t="shared" si="20"/>
        <v/>
      </c>
      <c r="T235" s="8"/>
      <c r="U235" s="7"/>
      <c r="V235" s="13"/>
      <c r="W235" s="9" t="str">
        <f t="shared" si="21"/>
        <v/>
      </c>
      <c r="X235" s="10" t="str">
        <f t="shared" si="22"/>
        <v/>
      </c>
      <c r="Y235" s="8"/>
      <c r="Z235" s="7"/>
      <c r="AA235" s="7"/>
      <c r="AB235" s="7"/>
      <c r="AC235" t="str">
        <f t="shared" si="23"/>
        <v/>
      </c>
    </row>
    <row r="236" spans="1:29" x14ac:dyDescent="0.3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9" t="str">
        <f>IF(J236="","",IFERROR(INDEX(Products!$B$5:$B$89,MATCH(J236,Products!$A$5:$A$89,0)),"Check ID"))</f>
        <v/>
      </c>
      <c r="L236" s="7"/>
      <c r="M236" s="10" t="str">
        <f>IF(J236="","",IFERROR(INDEX(Products!$E$5:$E$89,MATCH(J236,Products!$A$5:$A$89,0)),0))</f>
        <v/>
      </c>
      <c r="N236" s="11" t="str">
        <f>IF(L236="","",IFERROR(VLOOKUP(L236,'Discount Slabs'!$A$5:$B$9,2,TRUE()),0))</f>
        <v/>
      </c>
      <c r="O236" s="12"/>
      <c r="P236" s="10" t="str">
        <f t="shared" si="18"/>
        <v/>
      </c>
      <c r="Q236" s="10" t="str">
        <f t="shared" si="19"/>
        <v/>
      </c>
      <c r="R236" s="13"/>
      <c r="S236" s="10" t="str">
        <f t="shared" si="20"/>
        <v/>
      </c>
      <c r="T236" s="8"/>
      <c r="U236" s="7"/>
      <c r="V236" s="13"/>
      <c r="W236" s="9" t="str">
        <f t="shared" si="21"/>
        <v/>
      </c>
      <c r="X236" s="10" t="str">
        <f t="shared" si="22"/>
        <v/>
      </c>
      <c r="Y236" s="8"/>
      <c r="Z236" s="7"/>
      <c r="AA236" s="7"/>
      <c r="AB236" s="7"/>
      <c r="AC236" t="str">
        <f t="shared" si="23"/>
        <v/>
      </c>
    </row>
    <row r="237" spans="1:29" x14ac:dyDescent="0.3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9" t="str">
        <f>IF(J237="","",IFERROR(INDEX(Products!$B$5:$B$89,MATCH(J237,Products!$A$5:$A$89,0)),"Check ID"))</f>
        <v/>
      </c>
      <c r="L237" s="7"/>
      <c r="M237" s="10" t="str">
        <f>IF(J237="","",IFERROR(INDEX(Products!$E$5:$E$89,MATCH(J237,Products!$A$5:$A$89,0)),0))</f>
        <v/>
      </c>
      <c r="N237" s="11" t="str">
        <f>IF(L237="","",IFERROR(VLOOKUP(L237,'Discount Slabs'!$A$5:$B$9,2,TRUE()),0))</f>
        <v/>
      </c>
      <c r="O237" s="12"/>
      <c r="P237" s="10" t="str">
        <f t="shared" si="18"/>
        <v/>
      </c>
      <c r="Q237" s="10" t="str">
        <f t="shared" si="19"/>
        <v/>
      </c>
      <c r="R237" s="13"/>
      <c r="S237" s="10" t="str">
        <f t="shared" si="20"/>
        <v/>
      </c>
      <c r="T237" s="8"/>
      <c r="U237" s="7"/>
      <c r="V237" s="13"/>
      <c r="W237" s="9" t="str">
        <f t="shared" si="21"/>
        <v/>
      </c>
      <c r="X237" s="10" t="str">
        <f t="shared" si="22"/>
        <v/>
      </c>
      <c r="Y237" s="8"/>
      <c r="Z237" s="7"/>
      <c r="AA237" s="7"/>
      <c r="AB237" s="7"/>
      <c r="AC237" t="str">
        <f t="shared" si="23"/>
        <v/>
      </c>
    </row>
    <row r="238" spans="1:29" x14ac:dyDescent="0.3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9" t="str">
        <f>IF(J238="","",IFERROR(INDEX(Products!$B$5:$B$89,MATCH(J238,Products!$A$5:$A$89,0)),"Check ID"))</f>
        <v/>
      </c>
      <c r="L238" s="7"/>
      <c r="M238" s="10" t="str">
        <f>IF(J238="","",IFERROR(INDEX(Products!$E$5:$E$89,MATCH(J238,Products!$A$5:$A$89,0)),0))</f>
        <v/>
      </c>
      <c r="N238" s="11" t="str">
        <f>IF(L238="","",IFERROR(VLOOKUP(L238,'Discount Slabs'!$A$5:$B$9,2,TRUE()),0))</f>
        <v/>
      </c>
      <c r="O238" s="12"/>
      <c r="P238" s="10" t="str">
        <f t="shared" si="18"/>
        <v/>
      </c>
      <c r="Q238" s="10" t="str">
        <f t="shared" si="19"/>
        <v/>
      </c>
      <c r="R238" s="13"/>
      <c r="S238" s="10" t="str">
        <f t="shared" si="20"/>
        <v/>
      </c>
      <c r="T238" s="8"/>
      <c r="U238" s="7"/>
      <c r="V238" s="13"/>
      <c r="W238" s="9" t="str">
        <f t="shared" si="21"/>
        <v/>
      </c>
      <c r="X238" s="10" t="str">
        <f t="shared" si="22"/>
        <v/>
      </c>
      <c r="Y238" s="8"/>
      <c r="Z238" s="7"/>
      <c r="AA238" s="7"/>
      <c r="AB238" s="7"/>
      <c r="AC238" t="str">
        <f t="shared" si="23"/>
        <v/>
      </c>
    </row>
    <row r="239" spans="1:29" x14ac:dyDescent="0.3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9" t="str">
        <f>IF(J239="","",IFERROR(INDEX(Products!$B$5:$B$89,MATCH(J239,Products!$A$5:$A$89,0)),"Check ID"))</f>
        <v/>
      </c>
      <c r="L239" s="7"/>
      <c r="M239" s="10" t="str">
        <f>IF(J239="","",IFERROR(INDEX(Products!$E$5:$E$89,MATCH(J239,Products!$A$5:$A$89,0)),0))</f>
        <v/>
      </c>
      <c r="N239" s="11" t="str">
        <f>IF(L239="","",IFERROR(VLOOKUP(L239,'Discount Slabs'!$A$5:$B$9,2,TRUE()),0))</f>
        <v/>
      </c>
      <c r="O239" s="12"/>
      <c r="P239" s="10" t="str">
        <f t="shared" si="18"/>
        <v/>
      </c>
      <c r="Q239" s="10" t="str">
        <f t="shared" si="19"/>
        <v/>
      </c>
      <c r="R239" s="13"/>
      <c r="S239" s="10" t="str">
        <f t="shared" si="20"/>
        <v/>
      </c>
      <c r="T239" s="8"/>
      <c r="U239" s="7"/>
      <c r="V239" s="13"/>
      <c r="W239" s="9" t="str">
        <f t="shared" si="21"/>
        <v/>
      </c>
      <c r="X239" s="10" t="str">
        <f t="shared" si="22"/>
        <v/>
      </c>
      <c r="Y239" s="8"/>
      <c r="Z239" s="7"/>
      <c r="AA239" s="7"/>
      <c r="AB239" s="7"/>
      <c r="AC239" t="str">
        <f t="shared" si="23"/>
        <v/>
      </c>
    </row>
    <row r="240" spans="1:29" x14ac:dyDescent="0.3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9" t="str">
        <f>IF(J240="","",IFERROR(INDEX(Products!$B$5:$B$89,MATCH(J240,Products!$A$5:$A$89,0)),"Check ID"))</f>
        <v/>
      </c>
      <c r="L240" s="7"/>
      <c r="M240" s="10" t="str">
        <f>IF(J240="","",IFERROR(INDEX(Products!$E$5:$E$89,MATCH(J240,Products!$A$5:$A$89,0)),0))</f>
        <v/>
      </c>
      <c r="N240" s="11" t="str">
        <f>IF(L240="","",IFERROR(VLOOKUP(L240,'Discount Slabs'!$A$5:$B$9,2,TRUE()),0))</f>
        <v/>
      </c>
      <c r="O240" s="12"/>
      <c r="P240" s="10" t="str">
        <f t="shared" si="18"/>
        <v/>
      </c>
      <c r="Q240" s="10" t="str">
        <f t="shared" si="19"/>
        <v/>
      </c>
      <c r="R240" s="13"/>
      <c r="S240" s="10" t="str">
        <f t="shared" si="20"/>
        <v/>
      </c>
      <c r="T240" s="8"/>
      <c r="U240" s="7"/>
      <c r="V240" s="13"/>
      <c r="W240" s="9" t="str">
        <f t="shared" si="21"/>
        <v/>
      </c>
      <c r="X240" s="10" t="str">
        <f t="shared" si="22"/>
        <v/>
      </c>
      <c r="Y240" s="8"/>
      <c r="Z240" s="7"/>
      <c r="AA240" s="7"/>
      <c r="AB240" s="7"/>
      <c r="AC240" t="str">
        <f t="shared" si="23"/>
        <v/>
      </c>
    </row>
    <row r="241" spans="1:29" x14ac:dyDescent="0.3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9" t="str">
        <f>IF(J241="","",IFERROR(INDEX(Products!$B$5:$B$89,MATCH(J241,Products!$A$5:$A$89,0)),"Check ID"))</f>
        <v/>
      </c>
      <c r="L241" s="7"/>
      <c r="M241" s="10" t="str">
        <f>IF(J241="","",IFERROR(INDEX(Products!$E$5:$E$89,MATCH(J241,Products!$A$5:$A$89,0)),0))</f>
        <v/>
      </c>
      <c r="N241" s="11" t="str">
        <f>IF(L241="","",IFERROR(VLOOKUP(L241,'Discount Slabs'!$A$5:$B$9,2,TRUE()),0))</f>
        <v/>
      </c>
      <c r="O241" s="12"/>
      <c r="P241" s="10" t="str">
        <f t="shared" si="18"/>
        <v/>
      </c>
      <c r="Q241" s="10" t="str">
        <f t="shared" si="19"/>
        <v/>
      </c>
      <c r="R241" s="13"/>
      <c r="S241" s="10" t="str">
        <f t="shared" si="20"/>
        <v/>
      </c>
      <c r="T241" s="8"/>
      <c r="U241" s="7"/>
      <c r="V241" s="13"/>
      <c r="W241" s="9" t="str">
        <f t="shared" si="21"/>
        <v/>
      </c>
      <c r="X241" s="10" t="str">
        <f t="shared" si="22"/>
        <v/>
      </c>
      <c r="Y241" s="8"/>
      <c r="Z241" s="7"/>
      <c r="AA241" s="7"/>
      <c r="AB241" s="7"/>
      <c r="AC241" t="str">
        <f t="shared" si="23"/>
        <v/>
      </c>
    </row>
    <row r="242" spans="1:29" x14ac:dyDescent="0.3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9" t="str">
        <f>IF(J242="","",IFERROR(INDEX(Products!$B$5:$B$89,MATCH(J242,Products!$A$5:$A$89,0)),"Check ID"))</f>
        <v/>
      </c>
      <c r="L242" s="7"/>
      <c r="M242" s="10" t="str">
        <f>IF(J242="","",IFERROR(INDEX(Products!$E$5:$E$89,MATCH(J242,Products!$A$5:$A$89,0)),0))</f>
        <v/>
      </c>
      <c r="N242" s="11" t="str">
        <f>IF(L242="","",IFERROR(VLOOKUP(L242,'Discount Slabs'!$A$5:$B$9,2,TRUE()),0))</f>
        <v/>
      </c>
      <c r="O242" s="12"/>
      <c r="P242" s="10" t="str">
        <f t="shared" si="18"/>
        <v/>
      </c>
      <c r="Q242" s="10" t="str">
        <f t="shared" si="19"/>
        <v/>
      </c>
      <c r="R242" s="13"/>
      <c r="S242" s="10" t="str">
        <f t="shared" si="20"/>
        <v/>
      </c>
      <c r="T242" s="8"/>
      <c r="U242" s="7"/>
      <c r="V242" s="13"/>
      <c r="W242" s="9" t="str">
        <f t="shared" si="21"/>
        <v/>
      </c>
      <c r="X242" s="10" t="str">
        <f t="shared" si="22"/>
        <v/>
      </c>
      <c r="Y242" s="8"/>
      <c r="Z242" s="7"/>
      <c r="AA242" s="7"/>
      <c r="AB242" s="7"/>
      <c r="AC242" t="str">
        <f t="shared" si="23"/>
        <v/>
      </c>
    </row>
    <row r="243" spans="1:29" x14ac:dyDescent="0.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9" t="str">
        <f>IF(J243="","",IFERROR(INDEX(Products!$B$5:$B$89,MATCH(J243,Products!$A$5:$A$89,0)),"Check ID"))</f>
        <v/>
      </c>
      <c r="L243" s="7"/>
      <c r="M243" s="10" t="str">
        <f>IF(J243="","",IFERROR(INDEX(Products!$E$5:$E$89,MATCH(J243,Products!$A$5:$A$89,0)),0))</f>
        <v/>
      </c>
      <c r="N243" s="11" t="str">
        <f>IF(L243="","",IFERROR(VLOOKUP(L243,'Discount Slabs'!$A$5:$B$9,2,TRUE()),0))</f>
        <v/>
      </c>
      <c r="O243" s="12"/>
      <c r="P243" s="10" t="str">
        <f t="shared" si="18"/>
        <v/>
      </c>
      <c r="Q243" s="10" t="str">
        <f t="shared" si="19"/>
        <v/>
      </c>
      <c r="R243" s="13"/>
      <c r="S243" s="10" t="str">
        <f t="shared" si="20"/>
        <v/>
      </c>
      <c r="T243" s="8"/>
      <c r="U243" s="7"/>
      <c r="V243" s="13"/>
      <c r="W243" s="9" t="str">
        <f t="shared" si="21"/>
        <v/>
      </c>
      <c r="X243" s="10" t="str">
        <f t="shared" si="22"/>
        <v/>
      </c>
      <c r="Y243" s="8"/>
      <c r="Z243" s="7"/>
      <c r="AA243" s="7"/>
      <c r="AB243" s="7"/>
      <c r="AC243" t="str">
        <f t="shared" si="23"/>
        <v/>
      </c>
    </row>
    <row r="244" spans="1:29" x14ac:dyDescent="0.3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9" t="str">
        <f>IF(J244="","",IFERROR(INDEX(Products!$B$5:$B$89,MATCH(J244,Products!$A$5:$A$89,0)),"Check ID"))</f>
        <v/>
      </c>
      <c r="L244" s="7"/>
      <c r="M244" s="10" t="str">
        <f>IF(J244="","",IFERROR(INDEX(Products!$E$5:$E$89,MATCH(J244,Products!$A$5:$A$89,0)),0))</f>
        <v/>
      </c>
      <c r="N244" s="11" t="str">
        <f>IF(L244="","",IFERROR(VLOOKUP(L244,'Discount Slabs'!$A$5:$B$9,2,TRUE()),0))</f>
        <v/>
      </c>
      <c r="O244" s="12"/>
      <c r="P244" s="10" t="str">
        <f t="shared" si="18"/>
        <v/>
      </c>
      <c r="Q244" s="10" t="str">
        <f t="shared" si="19"/>
        <v/>
      </c>
      <c r="R244" s="13"/>
      <c r="S244" s="10" t="str">
        <f t="shared" si="20"/>
        <v/>
      </c>
      <c r="T244" s="8"/>
      <c r="U244" s="7"/>
      <c r="V244" s="13"/>
      <c r="W244" s="9" t="str">
        <f t="shared" si="21"/>
        <v/>
      </c>
      <c r="X244" s="10" t="str">
        <f t="shared" si="22"/>
        <v/>
      </c>
      <c r="Y244" s="8"/>
      <c r="Z244" s="7"/>
      <c r="AA244" s="7"/>
      <c r="AB244" s="7"/>
      <c r="AC244" t="str">
        <f t="shared" si="23"/>
        <v/>
      </c>
    </row>
    <row r="245" spans="1:29" x14ac:dyDescent="0.3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9" t="str">
        <f>IF(J245="","",IFERROR(INDEX(Products!$B$5:$B$89,MATCH(J245,Products!$A$5:$A$89,0)),"Check ID"))</f>
        <v/>
      </c>
      <c r="L245" s="7"/>
      <c r="M245" s="10" t="str">
        <f>IF(J245="","",IFERROR(INDEX(Products!$E$5:$E$89,MATCH(J245,Products!$A$5:$A$89,0)),0))</f>
        <v/>
      </c>
      <c r="N245" s="11" t="str">
        <f>IF(L245="","",IFERROR(VLOOKUP(L245,'Discount Slabs'!$A$5:$B$9,2,TRUE()),0))</f>
        <v/>
      </c>
      <c r="O245" s="12"/>
      <c r="P245" s="10" t="str">
        <f t="shared" si="18"/>
        <v/>
      </c>
      <c r="Q245" s="10" t="str">
        <f t="shared" si="19"/>
        <v/>
      </c>
      <c r="R245" s="13"/>
      <c r="S245" s="10" t="str">
        <f t="shared" si="20"/>
        <v/>
      </c>
      <c r="T245" s="8"/>
      <c r="U245" s="7"/>
      <c r="V245" s="13"/>
      <c r="W245" s="9" t="str">
        <f t="shared" si="21"/>
        <v/>
      </c>
      <c r="X245" s="10" t="str">
        <f t="shared" si="22"/>
        <v/>
      </c>
      <c r="Y245" s="8"/>
      <c r="Z245" s="7"/>
      <c r="AA245" s="7"/>
      <c r="AB245" s="7"/>
      <c r="AC245" t="str">
        <f t="shared" si="23"/>
        <v/>
      </c>
    </row>
    <row r="246" spans="1:29" x14ac:dyDescent="0.3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9" t="str">
        <f>IF(J246="","",IFERROR(INDEX(Products!$B$5:$B$89,MATCH(J246,Products!$A$5:$A$89,0)),"Check ID"))</f>
        <v/>
      </c>
      <c r="L246" s="7"/>
      <c r="M246" s="10" t="str">
        <f>IF(J246="","",IFERROR(INDEX(Products!$E$5:$E$89,MATCH(J246,Products!$A$5:$A$89,0)),0))</f>
        <v/>
      </c>
      <c r="N246" s="11" t="str">
        <f>IF(L246="","",IFERROR(VLOOKUP(L246,'Discount Slabs'!$A$5:$B$9,2,TRUE()),0))</f>
        <v/>
      </c>
      <c r="O246" s="12"/>
      <c r="P246" s="10" t="str">
        <f t="shared" si="18"/>
        <v/>
      </c>
      <c r="Q246" s="10" t="str">
        <f t="shared" si="19"/>
        <v/>
      </c>
      <c r="R246" s="13"/>
      <c r="S246" s="10" t="str">
        <f t="shared" si="20"/>
        <v/>
      </c>
      <c r="T246" s="8"/>
      <c r="U246" s="7"/>
      <c r="V246" s="13"/>
      <c r="W246" s="9" t="str">
        <f t="shared" si="21"/>
        <v/>
      </c>
      <c r="X246" s="10" t="str">
        <f t="shared" si="22"/>
        <v/>
      </c>
      <c r="Y246" s="8"/>
      <c r="Z246" s="7"/>
      <c r="AA246" s="7"/>
      <c r="AB246" s="7"/>
      <c r="AC246" t="str">
        <f t="shared" si="23"/>
        <v/>
      </c>
    </row>
    <row r="247" spans="1:29" x14ac:dyDescent="0.3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9" t="str">
        <f>IF(J247="","",IFERROR(INDEX(Products!$B$5:$B$89,MATCH(J247,Products!$A$5:$A$89,0)),"Check ID"))</f>
        <v/>
      </c>
      <c r="L247" s="7"/>
      <c r="M247" s="10" t="str">
        <f>IF(J247="","",IFERROR(INDEX(Products!$E$5:$E$89,MATCH(J247,Products!$A$5:$A$89,0)),0))</f>
        <v/>
      </c>
      <c r="N247" s="11" t="str">
        <f>IF(L247="","",IFERROR(VLOOKUP(L247,'Discount Slabs'!$A$5:$B$9,2,TRUE()),0))</f>
        <v/>
      </c>
      <c r="O247" s="12"/>
      <c r="P247" s="10" t="str">
        <f t="shared" si="18"/>
        <v/>
      </c>
      <c r="Q247" s="10" t="str">
        <f t="shared" si="19"/>
        <v/>
      </c>
      <c r="R247" s="13"/>
      <c r="S247" s="10" t="str">
        <f t="shared" si="20"/>
        <v/>
      </c>
      <c r="T247" s="8"/>
      <c r="U247" s="7"/>
      <c r="V247" s="13"/>
      <c r="W247" s="9" t="str">
        <f t="shared" si="21"/>
        <v/>
      </c>
      <c r="X247" s="10" t="str">
        <f t="shared" si="22"/>
        <v/>
      </c>
      <c r="Y247" s="8"/>
      <c r="Z247" s="7"/>
      <c r="AA247" s="7"/>
      <c r="AB247" s="7"/>
      <c r="AC247" t="str">
        <f t="shared" si="23"/>
        <v/>
      </c>
    </row>
    <row r="248" spans="1:29" x14ac:dyDescent="0.3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9" t="str">
        <f>IF(J248="","",IFERROR(INDEX(Products!$B$5:$B$89,MATCH(J248,Products!$A$5:$A$89,0)),"Check ID"))</f>
        <v/>
      </c>
      <c r="L248" s="7"/>
      <c r="M248" s="10" t="str">
        <f>IF(J248="","",IFERROR(INDEX(Products!$E$5:$E$89,MATCH(J248,Products!$A$5:$A$89,0)),0))</f>
        <v/>
      </c>
      <c r="N248" s="11" t="str">
        <f>IF(L248="","",IFERROR(VLOOKUP(L248,'Discount Slabs'!$A$5:$B$9,2,TRUE()),0))</f>
        <v/>
      </c>
      <c r="O248" s="12"/>
      <c r="P248" s="10" t="str">
        <f t="shared" si="18"/>
        <v/>
      </c>
      <c r="Q248" s="10" t="str">
        <f t="shared" si="19"/>
        <v/>
      </c>
      <c r="R248" s="13"/>
      <c r="S248" s="10" t="str">
        <f t="shared" si="20"/>
        <v/>
      </c>
      <c r="T248" s="8"/>
      <c r="U248" s="7"/>
      <c r="V248" s="13"/>
      <c r="W248" s="9" t="str">
        <f t="shared" si="21"/>
        <v/>
      </c>
      <c r="X248" s="10" t="str">
        <f t="shared" si="22"/>
        <v/>
      </c>
      <c r="Y248" s="8"/>
      <c r="Z248" s="7"/>
      <c r="AA248" s="7"/>
      <c r="AB248" s="7"/>
      <c r="AC248" t="str">
        <f t="shared" si="23"/>
        <v/>
      </c>
    </row>
    <row r="249" spans="1:29" x14ac:dyDescent="0.3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9" t="str">
        <f>IF(J249="","",IFERROR(INDEX(Products!$B$5:$B$89,MATCH(J249,Products!$A$5:$A$89,0)),"Check ID"))</f>
        <v/>
      </c>
      <c r="L249" s="7"/>
      <c r="M249" s="10" t="str">
        <f>IF(J249="","",IFERROR(INDEX(Products!$E$5:$E$89,MATCH(J249,Products!$A$5:$A$89,0)),0))</f>
        <v/>
      </c>
      <c r="N249" s="11" t="str">
        <f>IF(L249="","",IFERROR(VLOOKUP(L249,'Discount Slabs'!$A$5:$B$9,2,TRUE()),0))</f>
        <v/>
      </c>
      <c r="O249" s="12"/>
      <c r="P249" s="10" t="str">
        <f t="shared" si="18"/>
        <v/>
      </c>
      <c r="Q249" s="10" t="str">
        <f t="shared" si="19"/>
        <v/>
      </c>
      <c r="R249" s="13"/>
      <c r="S249" s="10" t="str">
        <f t="shared" si="20"/>
        <v/>
      </c>
      <c r="T249" s="8"/>
      <c r="U249" s="7"/>
      <c r="V249" s="13"/>
      <c r="W249" s="9" t="str">
        <f t="shared" si="21"/>
        <v/>
      </c>
      <c r="X249" s="10" t="str">
        <f t="shared" si="22"/>
        <v/>
      </c>
      <c r="Y249" s="8"/>
      <c r="Z249" s="7"/>
      <c r="AA249" s="7"/>
      <c r="AB249" s="7"/>
      <c r="AC249" t="str">
        <f t="shared" si="23"/>
        <v/>
      </c>
    </row>
    <row r="250" spans="1:29" x14ac:dyDescent="0.3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9" t="str">
        <f>IF(J250="","",IFERROR(INDEX(Products!$B$5:$B$89,MATCH(J250,Products!$A$5:$A$89,0)),"Check ID"))</f>
        <v/>
      </c>
      <c r="L250" s="7"/>
      <c r="M250" s="10" t="str">
        <f>IF(J250="","",IFERROR(INDEX(Products!$E$5:$E$89,MATCH(J250,Products!$A$5:$A$89,0)),0))</f>
        <v/>
      </c>
      <c r="N250" s="11" t="str">
        <f>IF(L250="","",IFERROR(VLOOKUP(L250,'Discount Slabs'!$A$5:$B$9,2,TRUE()),0))</f>
        <v/>
      </c>
      <c r="O250" s="12"/>
      <c r="P250" s="10" t="str">
        <f t="shared" si="18"/>
        <v/>
      </c>
      <c r="Q250" s="10" t="str">
        <f t="shared" si="19"/>
        <v/>
      </c>
      <c r="R250" s="13"/>
      <c r="S250" s="10" t="str">
        <f t="shared" si="20"/>
        <v/>
      </c>
      <c r="T250" s="8"/>
      <c r="U250" s="7"/>
      <c r="V250" s="13"/>
      <c r="W250" s="9" t="str">
        <f t="shared" si="21"/>
        <v/>
      </c>
      <c r="X250" s="10" t="str">
        <f t="shared" si="22"/>
        <v/>
      </c>
      <c r="Y250" s="8"/>
      <c r="Z250" s="7"/>
      <c r="AA250" s="7"/>
      <c r="AB250" s="7"/>
      <c r="AC250" t="str">
        <f t="shared" si="23"/>
        <v/>
      </c>
    </row>
    <row r="251" spans="1:29" x14ac:dyDescent="0.3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9" t="str">
        <f>IF(J251="","",IFERROR(INDEX(Products!$B$5:$B$89,MATCH(J251,Products!$A$5:$A$89,0)),"Check ID"))</f>
        <v/>
      </c>
      <c r="L251" s="7"/>
      <c r="M251" s="10" t="str">
        <f>IF(J251="","",IFERROR(INDEX(Products!$E$5:$E$89,MATCH(J251,Products!$A$5:$A$89,0)),0))</f>
        <v/>
      </c>
      <c r="N251" s="11" t="str">
        <f>IF(L251="","",IFERROR(VLOOKUP(L251,'Discount Slabs'!$A$5:$B$9,2,TRUE()),0))</f>
        <v/>
      </c>
      <c r="O251" s="12"/>
      <c r="P251" s="10" t="str">
        <f t="shared" si="18"/>
        <v/>
      </c>
      <c r="Q251" s="10" t="str">
        <f t="shared" si="19"/>
        <v/>
      </c>
      <c r="R251" s="13"/>
      <c r="S251" s="10" t="str">
        <f t="shared" si="20"/>
        <v/>
      </c>
      <c r="T251" s="8"/>
      <c r="U251" s="7"/>
      <c r="V251" s="13"/>
      <c r="W251" s="9" t="str">
        <f t="shared" si="21"/>
        <v/>
      </c>
      <c r="X251" s="10" t="str">
        <f t="shared" si="22"/>
        <v/>
      </c>
      <c r="Y251" s="8"/>
      <c r="Z251" s="7"/>
      <c r="AA251" s="7"/>
      <c r="AB251" s="7"/>
      <c r="AC251" t="str">
        <f t="shared" si="23"/>
        <v/>
      </c>
    </row>
    <row r="252" spans="1:29" x14ac:dyDescent="0.3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9" t="str">
        <f>IF(J252="","",IFERROR(INDEX(Products!$B$5:$B$89,MATCH(J252,Products!$A$5:$A$89,0)),"Check ID"))</f>
        <v/>
      </c>
      <c r="L252" s="7"/>
      <c r="M252" s="10" t="str">
        <f>IF(J252="","",IFERROR(INDEX(Products!$E$5:$E$89,MATCH(J252,Products!$A$5:$A$89,0)),0))</f>
        <v/>
      </c>
      <c r="N252" s="11" t="str">
        <f>IF(L252="","",IFERROR(VLOOKUP(L252,'Discount Slabs'!$A$5:$B$9,2,TRUE()),0))</f>
        <v/>
      </c>
      <c r="O252" s="12"/>
      <c r="P252" s="10" t="str">
        <f t="shared" si="18"/>
        <v/>
      </c>
      <c r="Q252" s="10" t="str">
        <f t="shared" si="19"/>
        <v/>
      </c>
      <c r="R252" s="13"/>
      <c r="S252" s="10" t="str">
        <f t="shared" si="20"/>
        <v/>
      </c>
      <c r="T252" s="8"/>
      <c r="U252" s="7"/>
      <c r="V252" s="13"/>
      <c r="W252" s="9" t="str">
        <f t="shared" si="21"/>
        <v/>
      </c>
      <c r="X252" s="10" t="str">
        <f t="shared" si="22"/>
        <v/>
      </c>
      <c r="Y252" s="8"/>
      <c r="Z252" s="7"/>
      <c r="AA252" s="7"/>
      <c r="AB252" s="7"/>
      <c r="AC252" t="str">
        <f t="shared" si="23"/>
        <v/>
      </c>
    </row>
    <row r="253" spans="1:29" x14ac:dyDescent="0.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9" t="str">
        <f>IF(J253="","",IFERROR(INDEX(Products!$B$5:$B$89,MATCH(J253,Products!$A$5:$A$89,0)),"Check ID"))</f>
        <v/>
      </c>
      <c r="L253" s="7"/>
      <c r="M253" s="10" t="str">
        <f>IF(J253="","",IFERROR(INDEX(Products!$E$5:$E$89,MATCH(J253,Products!$A$5:$A$89,0)),0))</f>
        <v/>
      </c>
      <c r="N253" s="11" t="str">
        <f>IF(L253="","",IFERROR(VLOOKUP(L253,'Discount Slabs'!$A$5:$B$9,2,TRUE()),0))</f>
        <v/>
      </c>
      <c r="O253" s="12"/>
      <c r="P253" s="10" t="str">
        <f t="shared" si="18"/>
        <v/>
      </c>
      <c r="Q253" s="10" t="str">
        <f t="shared" si="19"/>
        <v/>
      </c>
      <c r="R253" s="13"/>
      <c r="S253" s="10" t="str">
        <f t="shared" si="20"/>
        <v/>
      </c>
      <c r="T253" s="8"/>
      <c r="U253" s="7"/>
      <c r="V253" s="13"/>
      <c r="W253" s="9" t="str">
        <f t="shared" si="21"/>
        <v/>
      </c>
      <c r="X253" s="10" t="str">
        <f t="shared" si="22"/>
        <v/>
      </c>
      <c r="Y253" s="8"/>
      <c r="Z253" s="7"/>
      <c r="AA253" s="7"/>
      <c r="AB253" s="7"/>
      <c r="AC253" t="str">
        <f t="shared" si="23"/>
        <v/>
      </c>
    </row>
    <row r="254" spans="1:29" x14ac:dyDescent="0.3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9" t="str">
        <f>IF(J254="","",IFERROR(INDEX(Products!$B$5:$B$89,MATCH(J254,Products!$A$5:$A$89,0)),"Check ID"))</f>
        <v/>
      </c>
      <c r="L254" s="7"/>
      <c r="M254" s="10" t="str">
        <f>IF(J254="","",IFERROR(INDEX(Products!$E$5:$E$89,MATCH(J254,Products!$A$5:$A$89,0)),0))</f>
        <v/>
      </c>
      <c r="N254" s="11" t="str">
        <f>IF(L254="","",IFERROR(VLOOKUP(L254,'Discount Slabs'!$A$5:$B$9,2,TRUE()),0))</f>
        <v/>
      </c>
      <c r="O254" s="12"/>
      <c r="P254" s="10" t="str">
        <f t="shared" si="18"/>
        <v/>
      </c>
      <c r="Q254" s="10" t="str">
        <f t="shared" si="19"/>
        <v/>
      </c>
      <c r="R254" s="13"/>
      <c r="S254" s="10" t="str">
        <f t="shared" si="20"/>
        <v/>
      </c>
      <c r="T254" s="8"/>
      <c r="U254" s="7"/>
      <c r="V254" s="13"/>
      <c r="W254" s="9" t="str">
        <f t="shared" si="21"/>
        <v/>
      </c>
      <c r="X254" s="10" t="str">
        <f t="shared" si="22"/>
        <v/>
      </c>
      <c r="Y254" s="8"/>
      <c r="Z254" s="7"/>
      <c r="AA254" s="7"/>
      <c r="AB254" s="7"/>
      <c r="AC254" t="str">
        <f t="shared" si="23"/>
        <v/>
      </c>
    </row>
    <row r="255" spans="1:29" x14ac:dyDescent="0.3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9" t="str">
        <f>IF(J255="","",IFERROR(INDEX(Products!$B$5:$B$89,MATCH(J255,Products!$A$5:$A$89,0)),"Check ID"))</f>
        <v/>
      </c>
      <c r="L255" s="7"/>
      <c r="M255" s="10" t="str">
        <f>IF(J255="","",IFERROR(INDEX(Products!$E$5:$E$89,MATCH(J255,Products!$A$5:$A$89,0)),0))</f>
        <v/>
      </c>
      <c r="N255" s="11" t="str">
        <f>IF(L255="","",IFERROR(VLOOKUP(L255,'Discount Slabs'!$A$5:$B$9,2,TRUE()),0))</f>
        <v/>
      </c>
      <c r="O255" s="12"/>
      <c r="P255" s="10" t="str">
        <f t="shared" si="18"/>
        <v/>
      </c>
      <c r="Q255" s="10" t="str">
        <f t="shared" si="19"/>
        <v/>
      </c>
      <c r="R255" s="13"/>
      <c r="S255" s="10" t="str">
        <f t="shared" si="20"/>
        <v/>
      </c>
      <c r="T255" s="8"/>
      <c r="U255" s="7"/>
      <c r="V255" s="13"/>
      <c r="W255" s="9" t="str">
        <f t="shared" si="21"/>
        <v/>
      </c>
      <c r="X255" s="10" t="str">
        <f t="shared" si="22"/>
        <v/>
      </c>
      <c r="Y255" s="8"/>
      <c r="Z255" s="7"/>
      <c r="AA255" s="7"/>
      <c r="AB255" s="7"/>
      <c r="AC255" t="str">
        <f t="shared" si="23"/>
        <v/>
      </c>
    </row>
    <row r="256" spans="1:29" x14ac:dyDescent="0.3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9" t="str">
        <f>IF(J256="","",IFERROR(INDEX(Products!$B$5:$B$89,MATCH(J256,Products!$A$5:$A$89,0)),"Check ID"))</f>
        <v/>
      </c>
      <c r="L256" s="7"/>
      <c r="M256" s="10" t="str">
        <f>IF(J256="","",IFERROR(INDEX(Products!$E$5:$E$89,MATCH(J256,Products!$A$5:$A$89,0)),0))</f>
        <v/>
      </c>
      <c r="N256" s="11" t="str">
        <f>IF(L256="","",IFERROR(VLOOKUP(L256,'Discount Slabs'!$A$5:$B$9,2,TRUE()),0))</f>
        <v/>
      </c>
      <c r="O256" s="12"/>
      <c r="P256" s="10" t="str">
        <f t="shared" si="18"/>
        <v/>
      </c>
      <c r="Q256" s="10" t="str">
        <f t="shared" si="19"/>
        <v/>
      </c>
      <c r="R256" s="13"/>
      <c r="S256" s="10" t="str">
        <f t="shared" si="20"/>
        <v/>
      </c>
      <c r="T256" s="8"/>
      <c r="U256" s="7"/>
      <c r="V256" s="13"/>
      <c r="W256" s="9" t="str">
        <f t="shared" si="21"/>
        <v/>
      </c>
      <c r="X256" s="10" t="str">
        <f t="shared" si="22"/>
        <v/>
      </c>
      <c r="Y256" s="8"/>
      <c r="Z256" s="7"/>
      <c r="AA256" s="7"/>
      <c r="AB256" s="7"/>
      <c r="AC256" t="str">
        <f t="shared" si="23"/>
        <v/>
      </c>
    </row>
    <row r="257" spans="1:29" x14ac:dyDescent="0.3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9" t="str">
        <f>IF(J257="","",IFERROR(INDEX(Products!$B$5:$B$89,MATCH(J257,Products!$A$5:$A$89,0)),"Check ID"))</f>
        <v/>
      </c>
      <c r="L257" s="7"/>
      <c r="M257" s="10" t="str">
        <f>IF(J257="","",IFERROR(INDEX(Products!$E$5:$E$89,MATCH(J257,Products!$A$5:$A$89,0)),0))</f>
        <v/>
      </c>
      <c r="N257" s="11" t="str">
        <f>IF(L257="","",IFERROR(VLOOKUP(L257,'Discount Slabs'!$A$5:$B$9,2,TRUE()),0))</f>
        <v/>
      </c>
      <c r="O257" s="12"/>
      <c r="P257" s="10" t="str">
        <f t="shared" si="18"/>
        <v/>
      </c>
      <c r="Q257" s="10" t="str">
        <f t="shared" si="19"/>
        <v/>
      </c>
      <c r="R257" s="13"/>
      <c r="S257" s="10" t="str">
        <f t="shared" si="20"/>
        <v/>
      </c>
      <c r="T257" s="8"/>
      <c r="U257" s="7"/>
      <c r="V257" s="13"/>
      <c r="W257" s="9" t="str">
        <f t="shared" si="21"/>
        <v/>
      </c>
      <c r="X257" s="10" t="str">
        <f t="shared" si="22"/>
        <v/>
      </c>
      <c r="Y257" s="8"/>
      <c r="Z257" s="7"/>
      <c r="AA257" s="7"/>
      <c r="AB257" s="7"/>
      <c r="AC257" t="str">
        <f t="shared" si="23"/>
        <v/>
      </c>
    </row>
    <row r="258" spans="1:29" x14ac:dyDescent="0.3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9" t="str">
        <f>IF(J258="","",IFERROR(INDEX(Products!$B$5:$B$89,MATCH(J258,Products!$A$5:$A$89,0)),"Check ID"))</f>
        <v/>
      </c>
      <c r="L258" s="7"/>
      <c r="M258" s="10" t="str">
        <f>IF(J258="","",IFERROR(INDEX(Products!$E$5:$E$89,MATCH(J258,Products!$A$5:$A$89,0)),0))</f>
        <v/>
      </c>
      <c r="N258" s="11" t="str">
        <f>IF(L258="","",IFERROR(VLOOKUP(L258,'Discount Slabs'!$A$5:$B$9,2,TRUE()),0))</f>
        <v/>
      </c>
      <c r="O258" s="12"/>
      <c r="P258" s="10" t="str">
        <f t="shared" si="18"/>
        <v/>
      </c>
      <c r="Q258" s="10" t="str">
        <f t="shared" si="19"/>
        <v/>
      </c>
      <c r="R258" s="13"/>
      <c r="S258" s="10" t="str">
        <f t="shared" si="20"/>
        <v/>
      </c>
      <c r="T258" s="8"/>
      <c r="U258" s="7"/>
      <c r="V258" s="13"/>
      <c r="W258" s="9" t="str">
        <f t="shared" si="21"/>
        <v/>
      </c>
      <c r="X258" s="10" t="str">
        <f t="shared" si="22"/>
        <v/>
      </c>
      <c r="Y258" s="8"/>
      <c r="Z258" s="7"/>
      <c r="AA258" s="7"/>
      <c r="AB258" s="7"/>
      <c r="AC258" t="str">
        <f t="shared" si="23"/>
        <v/>
      </c>
    </row>
    <row r="259" spans="1:29" x14ac:dyDescent="0.3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9" t="str">
        <f>IF(J259="","",IFERROR(INDEX(Products!$B$5:$B$89,MATCH(J259,Products!$A$5:$A$89,0)),"Check ID"))</f>
        <v/>
      </c>
      <c r="L259" s="7"/>
      <c r="M259" s="10" t="str">
        <f>IF(J259="","",IFERROR(INDEX(Products!$E$5:$E$89,MATCH(J259,Products!$A$5:$A$89,0)),0))</f>
        <v/>
      </c>
      <c r="N259" s="11" t="str">
        <f>IF(L259="","",IFERROR(VLOOKUP(L259,'Discount Slabs'!$A$5:$B$9,2,TRUE()),0))</f>
        <v/>
      </c>
      <c r="O259" s="12"/>
      <c r="P259" s="10" t="str">
        <f t="shared" si="18"/>
        <v/>
      </c>
      <c r="Q259" s="10" t="str">
        <f t="shared" si="19"/>
        <v/>
      </c>
      <c r="R259" s="13"/>
      <c r="S259" s="10" t="str">
        <f t="shared" si="20"/>
        <v/>
      </c>
      <c r="T259" s="8"/>
      <c r="U259" s="7"/>
      <c r="V259" s="13"/>
      <c r="W259" s="9" t="str">
        <f t="shared" si="21"/>
        <v/>
      </c>
      <c r="X259" s="10" t="str">
        <f t="shared" si="22"/>
        <v/>
      </c>
      <c r="Y259" s="8"/>
      <c r="Z259" s="7"/>
      <c r="AA259" s="7"/>
      <c r="AB259" s="7"/>
      <c r="AC259" t="str">
        <f t="shared" si="23"/>
        <v/>
      </c>
    </row>
    <row r="260" spans="1:29" x14ac:dyDescent="0.3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9" t="str">
        <f>IF(J260="","",IFERROR(INDEX(Products!$B$5:$B$89,MATCH(J260,Products!$A$5:$A$89,0)),"Check ID"))</f>
        <v/>
      </c>
      <c r="L260" s="7"/>
      <c r="M260" s="10" t="str">
        <f>IF(J260="","",IFERROR(INDEX(Products!$E$5:$E$89,MATCH(J260,Products!$A$5:$A$89,0)),0))</f>
        <v/>
      </c>
      <c r="N260" s="11" t="str">
        <f>IF(L260="","",IFERROR(VLOOKUP(L260,'Discount Slabs'!$A$5:$B$9,2,TRUE()),0))</f>
        <v/>
      </c>
      <c r="O260" s="12"/>
      <c r="P260" s="10" t="str">
        <f t="shared" si="18"/>
        <v/>
      </c>
      <c r="Q260" s="10" t="str">
        <f t="shared" si="19"/>
        <v/>
      </c>
      <c r="R260" s="13"/>
      <c r="S260" s="10" t="str">
        <f t="shared" si="20"/>
        <v/>
      </c>
      <c r="T260" s="8"/>
      <c r="U260" s="7"/>
      <c r="V260" s="13"/>
      <c r="W260" s="9" t="str">
        <f t="shared" si="21"/>
        <v/>
      </c>
      <c r="X260" s="10" t="str">
        <f t="shared" si="22"/>
        <v/>
      </c>
      <c r="Y260" s="8"/>
      <c r="Z260" s="7"/>
      <c r="AA260" s="7"/>
      <c r="AB260" s="7"/>
      <c r="AC260" t="str">
        <f t="shared" si="23"/>
        <v/>
      </c>
    </row>
    <row r="261" spans="1:29" x14ac:dyDescent="0.3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9" t="str">
        <f>IF(J261="","",IFERROR(INDEX(Products!$B$5:$B$89,MATCH(J261,Products!$A$5:$A$89,0)),"Check ID"))</f>
        <v/>
      </c>
      <c r="L261" s="7"/>
      <c r="M261" s="10" t="str">
        <f>IF(J261="","",IFERROR(INDEX(Products!$E$5:$E$89,MATCH(J261,Products!$A$5:$A$89,0)),0))</f>
        <v/>
      </c>
      <c r="N261" s="11" t="str">
        <f>IF(L261="","",IFERROR(VLOOKUP(L261,'Discount Slabs'!$A$5:$B$9,2,TRUE()),0))</f>
        <v/>
      </c>
      <c r="O261" s="12"/>
      <c r="P261" s="10" t="str">
        <f t="shared" ref="P261:P324" si="24">IF(OR(J261="",L261=""),"",ROUND(M261*(1-N261-N(O261)),0))</f>
        <v/>
      </c>
      <c r="Q261" s="10" t="str">
        <f t="shared" ref="Q261:Q324" si="25">IF(P261="","",P261*L261)</f>
        <v/>
      </c>
      <c r="R261" s="13"/>
      <c r="S261" s="10" t="str">
        <f t="shared" ref="S261:S324" si="26">IF(Q261="","",Q261+N(R261))</f>
        <v/>
      </c>
      <c r="T261" s="8"/>
      <c r="U261" s="7"/>
      <c r="V261" s="13"/>
      <c r="W261" s="9" t="str">
        <f t="shared" ref="W261:W324" si="27">IF(OR(U261="Advance received",U261="In production",U261="Dispatched",U261="Delivered"),"Won","")</f>
        <v/>
      </c>
      <c r="X261" s="10" t="str">
        <f t="shared" ref="X261:X324" si="28">IF(S261="","",S261-N(V261))</f>
        <v/>
      </c>
      <c r="Y261" s="8"/>
      <c r="Z261" s="7"/>
      <c r="AA261" s="7"/>
      <c r="AB261" s="7"/>
      <c r="AC261" t="str">
        <f t="shared" ref="AC261:AC324" si="29">IF(P261="","",L261*M261)</f>
        <v/>
      </c>
    </row>
    <row r="262" spans="1:29" x14ac:dyDescent="0.3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9" t="str">
        <f>IF(J262="","",IFERROR(INDEX(Products!$B$5:$B$89,MATCH(J262,Products!$A$5:$A$89,0)),"Check ID"))</f>
        <v/>
      </c>
      <c r="L262" s="7"/>
      <c r="M262" s="10" t="str">
        <f>IF(J262="","",IFERROR(INDEX(Products!$E$5:$E$89,MATCH(J262,Products!$A$5:$A$89,0)),0))</f>
        <v/>
      </c>
      <c r="N262" s="11" t="str">
        <f>IF(L262="","",IFERROR(VLOOKUP(L262,'Discount Slabs'!$A$5:$B$9,2,TRUE()),0))</f>
        <v/>
      </c>
      <c r="O262" s="12"/>
      <c r="P262" s="10" t="str">
        <f t="shared" si="24"/>
        <v/>
      </c>
      <c r="Q262" s="10" t="str">
        <f t="shared" si="25"/>
        <v/>
      </c>
      <c r="R262" s="13"/>
      <c r="S262" s="10" t="str">
        <f t="shared" si="26"/>
        <v/>
      </c>
      <c r="T262" s="8"/>
      <c r="U262" s="7"/>
      <c r="V262" s="13"/>
      <c r="W262" s="9" t="str">
        <f t="shared" si="27"/>
        <v/>
      </c>
      <c r="X262" s="10" t="str">
        <f t="shared" si="28"/>
        <v/>
      </c>
      <c r="Y262" s="8"/>
      <c r="Z262" s="7"/>
      <c r="AA262" s="7"/>
      <c r="AB262" s="7"/>
      <c r="AC262" t="str">
        <f t="shared" si="29"/>
        <v/>
      </c>
    </row>
    <row r="263" spans="1:29" x14ac:dyDescent="0.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9" t="str">
        <f>IF(J263="","",IFERROR(INDEX(Products!$B$5:$B$89,MATCH(J263,Products!$A$5:$A$89,0)),"Check ID"))</f>
        <v/>
      </c>
      <c r="L263" s="7"/>
      <c r="M263" s="10" t="str">
        <f>IF(J263="","",IFERROR(INDEX(Products!$E$5:$E$89,MATCH(J263,Products!$A$5:$A$89,0)),0))</f>
        <v/>
      </c>
      <c r="N263" s="11" t="str">
        <f>IF(L263="","",IFERROR(VLOOKUP(L263,'Discount Slabs'!$A$5:$B$9,2,TRUE()),0))</f>
        <v/>
      </c>
      <c r="O263" s="12"/>
      <c r="P263" s="10" t="str">
        <f t="shared" si="24"/>
        <v/>
      </c>
      <c r="Q263" s="10" t="str">
        <f t="shared" si="25"/>
        <v/>
      </c>
      <c r="R263" s="13"/>
      <c r="S263" s="10" t="str">
        <f t="shared" si="26"/>
        <v/>
      </c>
      <c r="T263" s="8"/>
      <c r="U263" s="7"/>
      <c r="V263" s="13"/>
      <c r="W263" s="9" t="str">
        <f t="shared" si="27"/>
        <v/>
      </c>
      <c r="X263" s="10" t="str">
        <f t="shared" si="28"/>
        <v/>
      </c>
      <c r="Y263" s="8"/>
      <c r="Z263" s="7"/>
      <c r="AA263" s="7"/>
      <c r="AB263" s="7"/>
      <c r="AC263" t="str">
        <f t="shared" si="29"/>
        <v/>
      </c>
    </row>
    <row r="264" spans="1:29" x14ac:dyDescent="0.3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9" t="str">
        <f>IF(J264="","",IFERROR(INDEX(Products!$B$5:$B$89,MATCH(J264,Products!$A$5:$A$89,0)),"Check ID"))</f>
        <v/>
      </c>
      <c r="L264" s="7"/>
      <c r="M264" s="10" t="str">
        <f>IF(J264="","",IFERROR(INDEX(Products!$E$5:$E$89,MATCH(J264,Products!$A$5:$A$89,0)),0))</f>
        <v/>
      </c>
      <c r="N264" s="11" t="str">
        <f>IF(L264="","",IFERROR(VLOOKUP(L264,'Discount Slabs'!$A$5:$B$9,2,TRUE()),0))</f>
        <v/>
      </c>
      <c r="O264" s="12"/>
      <c r="P264" s="10" t="str">
        <f t="shared" si="24"/>
        <v/>
      </c>
      <c r="Q264" s="10" t="str">
        <f t="shared" si="25"/>
        <v/>
      </c>
      <c r="R264" s="13"/>
      <c r="S264" s="10" t="str">
        <f t="shared" si="26"/>
        <v/>
      </c>
      <c r="T264" s="8"/>
      <c r="U264" s="7"/>
      <c r="V264" s="13"/>
      <c r="W264" s="9" t="str">
        <f t="shared" si="27"/>
        <v/>
      </c>
      <c r="X264" s="10" t="str">
        <f t="shared" si="28"/>
        <v/>
      </c>
      <c r="Y264" s="8"/>
      <c r="Z264" s="7"/>
      <c r="AA264" s="7"/>
      <c r="AB264" s="7"/>
      <c r="AC264" t="str">
        <f t="shared" si="29"/>
        <v/>
      </c>
    </row>
    <row r="265" spans="1:29" x14ac:dyDescent="0.3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9" t="str">
        <f>IF(J265="","",IFERROR(INDEX(Products!$B$5:$B$89,MATCH(J265,Products!$A$5:$A$89,0)),"Check ID"))</f>
        <v/>
      </c>
      <c r="L265" s="7"/>
      <c r="M265" s="10" t="str">
        <f>IF(J265="","",IFERROR(INDEX(Products!$E$5:$E$89,MATCH(J265,Products!$A$5:$A$89,0)),0))</f>
        <v/>
      </c>
      <c r="N265" s="11" t="str">
        <f>IF(L265="","",IFERROR(VLOOKUP(L265,'Discount Slabs'!$A$5:$B$9,2,TRUE()),0))</f>
        <v/>
      </c>
      <c r="O265" s="12"/>
      <c r="P265" s="10" t="str">
        <f t="shared" si="24"/>
        <v/>
      </c>
      <c r="Q265" s="10" t="str">
        <f t="shared" si="25"/>
        <v/>
      </c>
      <c r="R265" s="13"/>
      <c r="S265" s="10" t="str">
        <f t="shared" si="26"/>
        <v/>
      </c>
      <c r="T265" s="8"/>
      <c r="U265" s="7"/>
      <c r="V265" s="13"/>
      <c r="W265" s="9" t="str">
        <f t="shared" si="27"/>
        <v/>
      </c>
      <c r="X265" s="10" t="str">
        <f t="shared" si="28"/>
        <v/>
      </c>
      <c r="Y265" s="8"/>
      <c r="Z265" s="7"/>
      <c r="AA265" s="7"/>
      <c r="AB265" s="7"/>
      <c r="AC265" t="str">
        <f t="shared" si="29"/>
        <v/>
      </c>
    </row>
    <row r="266" spans="1:29" x14ac:dyDescent="0.3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9" t="str">
        <f>IF(J266="","",IFERROR(INDEX(Products!$B$5:$B$89,MATCH(J266,Products!$A$5:$A$89,0)),"Check ID"))</f>
        <v/>
      </c>
      <c r="L266" s="7"/>
      <c r="M266" s="10" t="str">
        <f>IF(J266="","",IFERROR(INDEX(Products!$E$5:$E$89,MATCH(J266,Products!$A$5:$A$89,0)),0))</f>
        <v/>
      </c>
      <c r="N266" s="11" t="str">
        <f>IF(L266="","",IFERROR(VLOOKUP(L266,'Discount Slabs'!$A$5:$B$9,2,TRUE()),0))</f>
        <v/>
      </c>
      <c r="O266" s="12"/>
      <c r="P266" s="10" t="str">
        <f t="shared" si="24"/>
        <v/>
      </c>
      <c r="Q266" s="10" t="str">
        <f t="shared" si="25"/>
        <v/>
      </c>
      <c r="R266" s="13"/>
      <c r="S266" s="10" t="str">
        <f t="shared" si="26"/>
        <v/>
      </c>
      <c r="T266" s="8"/>
      <c r="U266" s="7"/>
      <c r="V266" s="13"/>
      <c r="W266" s="9" t="str">
        <f t="shared" si="27"/>
        <v/>
      </c>
      <c r="X266" s="10" t="str">
        <f t="shared" si="28"/>
        <v/>
      </c>
      <c r="Y266" s="8"/>
      <c r="Z266" s="7"/>
      <c r="AA266" s="7"/>
      <c r="AB266" s="7"/>
      <c r="AC266" t="str">
        <f t="shared" si="29"/>
        <v/>
      </c>
    </row>
    <row r="267" spans="1:29" x14ac:dyDescent="0.3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9" t="str">
        <f>IF(J267="","",IFERROR(INDEX(Products!$B$5:$B$89,MATCH(J267,Products!$A$5:$A$89,0)),"Check ID"))</f>
        <v/>
      </c>
      <c r="L267" s="7"/>
      <c r="M267" s="10" t="str">
        <f>IF(J267="","",IFERROR(INDEX(Products!$E$5:$E$89,MATCH(J267,Products!$A$5:$A$89,0)),0))</f>
        <v/>
      </c>
      <c r="N267" s="11" t="str">
        <f>IF(L267="","",IFERROR(VLOOKUP(L267,'Discount Slabs'!$A$5:$B$9,2,TRUE()),0))</f>
        <v/>
      </c>
      <c r="O267" s="12"/>
      <c r="P267" s="10" t="str">
        <f t="shared" si="24"/>
        <v/>
      </c>
      <c r="Q267" s="10" t="str">
        <f t="shared" si="25"/>
        <v/>
      </c>
      <c r="R267" s="13"/>
      <c r="S267" s="10" t="str">
        <f t="shared" si="26"/>
        <v/>
      </c>
      <c r="T267" s="8"/>
      <c r="U267" s="7"/>
      <c r="V267" s="13"/>
      <c r="W267" s="9" t="str">
        <f t="shared" si="27"/>
        <v/>
      </c>
      <c r="X267" s="10" t="str">
        <f t="shared" si="28"/>
        <v/>
      </c>
      <c r="Y267" s="8"/>
      <c r="Z267" s="7"/>
      <c r="AA267" s="7"/>
      <c r="AB267" s="7"/>
      <c r="AC267" t="str">
        <f t="shared" si="29"/>
        <v/>
      </c>
    </row>
    <row r="268" spans="1:29" x14ac:dyDescent="0.3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9" t="str">
        <f>IF(J268="","",IFERROR(INDEX(Products!$B$5:$B$89,MATCH(J268,Products!$A$5:$A$89,0)),"Check ID"))</f>
        <v/>
      </c>
      <c r="L268" s="7"/>
      <c r="M268" s="10" t="str">
        <f>IF(J268="","",IFERROR(INDEX(Products!$E$5:$E$89,MATCH(J268,Products!$A$5:$A$89,0)),0))</f>
        <v/>
      </c>
      <c r="N268" s="11" t="str">
        <f>IF(L268="","",IFERROR(VLOOKUP(L268,'Discount Slabs'!$A$5:$B$9,2,TRUE()),0))</f>
        <v/>
      </c>
      <c r="O268" s="12"/>
      <c r="P268" s="10" t="str">
        <f t="shared" si="24"/>
        <v/>
      </c>
      <c r="Q268" s="10" t="str">
        <f t="shared" si="25"/>
        <v/>
      </c>
      <c r="R268" s="13"/>
      <c r="S268" s="10" t="str">
        <f t="shared" si="26"/>
        <v/>
      </c>
      <c r="T268" s="8"/>
      <c r="U268" s="7"/>
      <c r="V268" s="13"/>
      <c r="W268" s="9" t="str">
        <f t="shared" si="27"/>
        <v/>
      </c>
      <c r="X268" s="10" t="str">
        <f t="shared" si="28"/>
        <v/>
      </c>
      <c r="Y268" s="8"/>
      <c r="Z268" s="7"/>
      <c r="AA268" s="7"/>
      <c r="AB268" s="7"/>
      <c r="AC268" t="str">
        <f t="shared" si="29"/>
        <v/>
      </c>
    </row>
    <row r="269" spans="1:29" x14ac:dyDescent="0.3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9" t="str">
        <f>IF(J269="","",IFERROR(INDEX(Products!$B$5:$B$89,MATCH(J269,Products!$A$5:$A$89,0)),"Check ID"))</f>
        <v/>
      </c>
      <c r="L269" s="7"/>
      <c r="M269" s="10" t="str">
        <f>IF(J269="","",IFERROR(INDEX(Products!$E$5:$E$89,MATCH(J269,Products!$A$5:$A$89,0)),0))</f>
        <v/>
      </c>
      <c r="N269" s="11" t="str">
        <f>IF(L269="","",IFERROR(VLOOKUP(L269,'Discount Slabs'!$A$5:$B$9,2,TRUE()),0))</f>
        <v/>
      </c>
      <c r="O269" s="12"/>
      <c r="P269" s="10" t="str">
        <f t="shared" si="24"/>
        <v/>
      </c>
      <c r="Q269" s="10" t="str">
        <f t="shared" si="25"/>
        <v/>
      </c>
      <c r="R269" s="13"/>
      <c r="S269" s="10" t="str">
        <f t="shared" si="26"/>
        <v/>
      </c>
      <c r="T269" s="8"/>
      <c r="U269" s="7"/>
      <c r="V269" s="13"/>
      <c r="W269" s="9" t="str">
        <f t="shared" si="27"/>
        <v/>
      </c>
      <c r="X269" s="10" t="str">
        <f t="shared" si="28"/>
        <v/>
      </c>
      <c r="Y269" s="8"/>
      <c r="Z269" s="7"/>
      <c r="AA269" s="7"/>
      <c r="AB269" s="7"/>
      <c r="AC269" t="str">
        <f t="shared" si="29"/>
        <v/>
      </c>
    </row>
    <row r="270" spans="1:29" x14ac:dyDescent="0.3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9" t="str">
        <f>IF(J270="","",IFERROR(INDEX(Products!$B$5:$B$89,MATCH(J270,Products!$A$5:$A$89,0)),"Check ID"))</f>
        <v/>
      </c>
      <c r="L270" s="7"/>
      <c r="M270" s="10" t="str">
        <f>IF(J270="","",IFERROR(INDEX(Products!$E$5:$E$89,MATCH(J270,Products!$A$5:$A$89,0)),0))</f>
        <v/>
      </c>
      <c r="N270" s="11" t="str">
        <f>IF(L270="","",IFERROR(VLOOKUP(L270,'Discount Slabs'!$A$5:$B$9,2,TRUE()),0))</f>
        <v/>
      </c>
      <c r="O270" s="12"/>
      <c r="P270" s="10" t="str">
        <f t="shared" si="24"/>
        <v/>
      </c>
      <c r="Q270" s="10" t="str">
        <f t="shared" si="25"/>
        <v/>
      </c>
      <c r="R270" s="13"/>
      <c r="S270" s="10" t="str">
        <f t="shared" si="26"/>
        <v/>
      </c>
      <c r="T270" s="8"/>
      <c r="U270" s="7"/>
      <c r="V270" s="13"/>
      <c r="W270" s="9" t="str">
        <f t="shared" si="27"/>
        <v/>
      </c>
      <c r="X270" s="10" t="str">
        <f t="shared" si="28"/>
        <v/>
      </c>
      <c r="Y270" s="8"/>
      <c r="Z270" s="7"/>
      <c r="AA270" s="7"/>
      <c r="AB270" s="7"/>
      <c r="AC270" t="str">
        <f t="shared" si="29"/>
        <v/>
      </c>
    </row>
    <row r="271" spans="1:29" x14ac:dyDescent="0.3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9" t="str">
        <f>IF(J271="","",IFERROR(INDEX(Products!$B$5:$B$89,MATCH(J271,Products!$A$5:$A$89,0)),"Check ID"))</f>
        <v/>
      </c>
      <c r="L271" s="7"/>
      <c r="M271" s="10" t="str">
        <f>IF(J271="","",IFERROR(INDEX(Products!$E$5:$E$89,MATCH(J271,Products!$A$5:$A$89,0)),0))</f>
        <v/>
      </c>
      <c r="N271" s="11" t="str">
        <f>IF(L271="","",IFERROR(VLOOKUP(L271,'Discount Slabs'!$A$5:$B$9,2,TRUE()),0))</f>
        <v/>
      </c>
      <c r="O271" s="12"/>
      <c r="P271" s="10" t="str">
        <f t="shared" si="24"/>
        <v/>
      </c>
      <c r="Q271" s="10" t="str">
        <f t="shared" si="25"/>
        <v/>
      </c>
      <c r="R271" s="13"/>
      <c r="S271" s="10" t="str">
        <f t="shared" si="26"/>
        <v/>
      </c>
      <c r="T271" s="8"/>
      <c r="U271" s="7"/>
      <c r="V271" s="13"/>
      <c r="W271" s="9" t="str">
        <f t="shared" si="27"/>
        <v/>
      </c>
      <c r="X271" s="10" t="str">
        <f t="shared" si="28"/>
        <v/>
      </c>
      <c r="Y271" s="8"/>
      <c r="Z271" s="7"/>
      <c r="AA271" s="7"/>
      <c r="AB271" s="7"/>
      <c r="AC271" t="str">
        <f t="shared" si="29"/>
        <v/>
      </c>
    </row>
    <row r="272" spans="1:29" x14ac:dyDescent="0.3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9" t="str">
        <f>IF(J272="","",IFERROR(INDEX(Products!$B$5:$B$89,MATCH(J272,Products!$A$5:$A$89,0)),"Check ID"))</f>
        <v/>
      </c>
      <c r="L272" s="7"/>
      <c r="M272" s="10" t="str">
        <f>IF(J272="","",IFERROR(INDEX(Products!$E$5:$E$89,MATCH(J272,Products!$A$5:$A$89,0)),0))</f>
        <v/>
      </c>
      <c r="N272" s="11" t="str">
        <f>IF(L272="","",IFERROR(VLOOKUP(L272,'Discount Slabs'!$A$5:$B$9,2,TRUE()),0))</f>
        <v/>
      </c>
      <c r="O272" s="12"/>
      <c r="P272" s="10" t="str">
        <f t="shared" si="24"/>
        <v/>
      </c>
      <c r="Q272" s="10" t="str">
        <f t="shared" si="25"/>
        <v/>
      </c>
      <c r="R272" s="13"/>
      <c r="S272" s="10" t="str">
        <f t="shared" si="26"/>
        <v/>
      </c>
      <c r="T272" s="8"/>
      <c r="U272" s="7"/>
      <c r="V272" s="13"/>
      <c r="W272" s="9" t="str">
        <f t="shared" si="27"/>
        <v/>
      </c>
      <c r="X272" s="10" t="str">
        <f t="shared" si="28"/>
        <v/>
      </c>
      <c r="Y272" s="8"/>
      <c r="Z272" s="7"/>
      <c r="AA272" s="7"/>
      <c r="AB272" s="7"/>
      <c r="AC272" t="str">
        <f t="shared" si="29"/>
        <v/>
      </c>
    </row>
    <row r="273" spans="1:29" x14ac:dyDescent="0.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9" t="str">
        <f>IF(J273="","",IFERROR(INDEX(Products!$B$5:$B$89,MATCH(J273,Products!$A$5:$A$89,0)),"Check ID"))</f>
        <v/>
      </c>
      <c r="L273" s="7"/>
      <c r="M273" s="10" t="str">
        <f>IF(J273="","",IFERROR(INDEX(Products!$E$5:$E$89,MATCH(J273,Products!$A$5:$A$89,0)),0))</f>
        <v/>
      </c>
      <c r="N273" s="11" t="str">
        <f>IF(L273="","",IFERROR(VLOOKUP(L273,'Discount Slabs'!$A$5:$B$9,2,TRUE()),0))</f>
        <v/>
      </c>
      <c r="O273" s="12"/>
      <c r="P273" s="10" t="str">
        <f t="shared" si="24"/>
        <v/>
      </c>
      <c r="Q273" s="10" t="str">
        <f t="shared" si="25"/>
        <v/>
      </c>
      <c r="R273" s="13"/>
      <c r="S273" s="10" t="str">
        <f t="shared" si="26"/>
        <v/>
      </c>
      <c r="T273" s="8"/>
      <c r="U273" s="7"/>
      <c r="V273" s="13"/>
      <c r="W273" s="9" t="str">
        <f t="shared" si="27"/>
        <v/>
      </c>
      <c r="X273" s="10" t="str">
        <f t="shared" si="28"/>
        <v/>
      </c>
      <c r="Y273" s="8"/>
      <c r="Z273" s="7"/>
      <c r="AA273" s="7"/>
      <c r="AB273" s="7"/>
      <c r="AC273" t="str">
        <f t="shared" si="29"/>
        <v/>
      </c>
    </row>
    <row r="274" spans="1:29" x14ac:dyDescent="0.3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9" t="str">
        <f>IF(J274="","",IFERROR(INDEX(Products!$B$5:$B$89,MATCH(J274,Products!$A$5:$A$89,0)),"Check ID"))</f>
        <v/>
      </c>
      <c r="L274" s="7"/>
      <c r="M274" s="10" t="str">
        <f>IF(J274="","",IFERROR(INDEX(Products!$E$5:$E$89,MATCH(J274,Products!$A$5:$A$89,0)),0))</f>
        <v/>
      </c>
      <c r="N274" s="11" t="str">
        <f>IF(L274="","",IFERROR(VLOOKUP(L274,'Discount Slabs'!$A$5:$B$9,2,TRUE()),0))</f>
        <v/>
      </c>
      <c r="O274" s="12"/>
      <c r="P274" s="10" t="str">
        <f t="shared" si="24"/>
        <v/>
      </c>
      <c r="Q274" s="10" t="str">
        <f t="shared" si="25"/>
        <v/>
      </c>
      <c r="R274" s="13"/>
      <c r="S274" s="10" t="str">
        <f t="shared" si="26"/>
        <v/>
      </c>
      <c r="T274" s="8"/>
      <c r="U274" s="7"/>
      <c r="V274" s="13"/>
      <c r="W274" s="9" t="str">
        <f t="shared" si="27"/>
        <v/>
      </c>
      <c r="X274" s="10" t="str">
        <f t="shared" si="28"/>
        <v/>
      </c>
      <c r="Y274" s="8"/>
      <c r="Z274" s="7"/>
      <c r="AA274" s="7"/>
      <c r="AB274" s="7"/>
      <c r="AC274" t="str">
        <f t="shared" si="29"/>
        <v/>
      </c>
    </row>
    <row r="275" spans="1:29" x14ac:dyDescent="0.3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9" t="str">
        <f>IF(J275="","",IFERROR(INDEX(Products!$B$5:$B$89,MATCH(J275,Products!$A$5:$A$89,0)),"Check ID"))</f>
        <v/>
      </c>
      <c r="L275" s="7"/>
      <c r="M275" s="10" t="str">
        <f>IF(J275="","",IFERROR(INDEX(Products!$E$5:$E$89,MATCH(J275,Products!$A$5:$A$89,0)),0))</f>
        <v/>
      </c>
      <c r="N275" s="11" t="str">
        <f>IF(L275="","",IFERROR(VLOOKUP(L275,'Discount Slabs'!$A$5:$B$9,2,TRUE()),0))</f>
        <v/>
      </c>
      <c r="O275" s="12"/>
      <c r="P275" s="10" t="str">
        <f t="shared" si="24"/>
        <v/>
      </c>
      <c r="Q275" s="10" t="str">
        <f t="shared" si="25"/>
        <v/>
      </c>
      <c r="R275" s="13"/>
      <c r="S275" s="10" t="str">
        <f t="shared" si="26"/>
        <v/>
      </c>
      <c r="T275" s="8"/>
      <c r="U275" s="7"/>
      <c r="V275" s="13"/>
      <c r="W275" s="9" t="str">
        <f t="shared" si="27"/>
        <v/>
      </c>
      <c r="X275" s="10" t="str">
        <f t="shared" si="28"/>
        <v/>
      </c>
      <c r="Y275" s="8"/>
      <c r="Z275" s="7"/>
      <c r="AA275" s="7"/>
      <c r="AB275" s="7"/>
      <c r="AC275" t="str">
        <f t="shared" si="29"/>
        <v/>
      </c>
    </row>
    <row r="276" spans="1:29" x14ac:dyDescent="0.3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9" t="str">
        <f>IF(J276="","",IFERROR(INDEX(Products!$B$5:$B$89,MATCH(J276,Products!$A$5:$A$89,0)),"Check ID"))</f>
        <v/>
      </c>
      <c r="L276" s="7"/>
      <c r="M276" s="10" t="str">
        <f>IF(J276="","",IFERROR(INDEX(Products!$E$5:$E$89,MATCH(J276,Products!$A$5:$A$89,0)),0))</f>
        <v/>
      </c>
      <c r="N276" s="11" t="str">
        <f>IF(L276="","",IFERROR(VLOOKUP(L276,'Discount Slabs'!$A$5:$B$9,2,TRUE()),0))</f>
        <v/>
      </c>
      <c r="O276" s="12"/>
      <c r="P276" s="10" t="str">
        <f t="shared" si="24"/>
        <v/>
      </c>
      <c r="Q276" s="10" t="str">
        <f t="shared" si="25"/>
        <v/>
      </c>
      <c r="R276" s="13"/>
      <c r="S276" s="10" t="str">
        <f t="shared" si="26"/>
        <v/>
      </c>
      <c r="T276" s="8"/>
      <c r="U276" s="7"/>
      <c r="V276" s="13"/>
      <c r="W276" s="9" t="str">
        <f t="shared" si="27"/>
        <v/>
      </c>
      <c r="X276" s="10" t="str">
        <f t="shared" si="28"/>
        <v/>
      </c>
      <c r="Y276" s="8"/>
      <c r="Z276" s="7"/>
      <c r="AA276" s="7"/>
      <c r="AB276" s="7"/>
      <c r="AC276" t="str">
        <f t="shared" si="29"/>
        <v/>
      </c>
    </row>
    <row r="277" spans="1:29" x14ac:dyDescent="0.3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9" t="str">
        <f>IF(J277="","",IFERROR(INDEX(Products!$B$5:$B$89,MATCH(J277,Products!$A$5:$A$89,0)),"Check ID"))</f>
        <v/>
      </c>
      <c r="L277" s="7"/>
      <c r="M277" s="10" t="str">
        <f>IF(J277="","",IFERROR(INDEX(Products!$E$5:$E$89,MATCH(J277,Products!$A$5:$A$89,0)),0))</f>
        <v/>
      </c>
      <c r="N277" s="11" t="str">
        <f>IF(L277="","",IFERROR(VLOOKUP(L277,'Discount Slabs'!$A$5:$B$9,2,TRUE()),0))</f>
        <v/>
      </c>
      <c r="O277" s="12"/>
      <c r="P277" s="10" t="str">
        <f t="shared" si="24"/>
        <v/>
      </c>
      <c r="Q277" s="10" t="str">
        <f t="shared" si="25"/>
        <v/>
      </c>
      <c r="R277" s="13"/>
      <c r="S277" s="10" t="str">
        <f t="shared" si="26"/>
        <v/>
      </c>
      <c r="T277" s="8"/>
      <c r="U277" s="7"/>
      <c r="V277" s="13"/>
      <c r="W277" s="9" t="str">
        <f t="shared" si="27"/>
        <v/>
      </c>
      <c r="X277" s="10" t="str">
        <f t="shared" si="28"/>
        <v/>
      </c>
      <c r="Y277" s="8"/>
      <c r="Z277" s="7"/>
      <c r="AA277" s="7"/>
      <c r="AB277" s="7"/>
      <c r="AC277" t="str">
        <f t="shared" si="29"/>
        <v/>
      </c>
    </row>
    <row r="278" spans="1:29" x14ac:dyDescent="0.3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9" t="str">
        <f>IF(J278="","",IFERROR(INDEX(Products!$B$5:$B$89,MATCH(J278,Products!$A$5:$A$89,0)),"Check ID"))</f>
        <v/>
      </c>
      <c r="L278" s="7"/>
      <c r="M278" s="10" t="str">
        <f>IF(J278="","",IFERROR(INDEX(Products!$E$5:$E$89,MATCH(J278,Products!$A$5:$A$89,0)),0))</f>
        <v/>
      </c>
      <c r="N278" s="11" t="str">
        <f>IF(L278="","",IFERROR(VLOOKUP(L278,'Discount Slabs'!$A$5:$B$9,2,TRUE()),0))</f>
        <v/>
      </c>
      <c r="O278" s="12"/>
      <c r="P278" s="10" t="str">
        <f t="shared" si="24"/>
        <v/>
      </c>
      <c r="Q278" s="10" t="str">
        <f t="shared" si="25"/>
        <v/>
      </c>
      <c r="R278" s="13"/>
      <c r="S278" s="10" t="str">
        <f t="shared" si="26"/>
        <v/>
      </c>
      <c r="T278" s="8"/>
      <c r="U278" s="7"/>
      <c r="V278" s="13"/>
      <c r="W278" s="9" t="str">
        <f t="shared" si="27"/>
        <v/>
      </c>
      <c r="X278" s="10" t="str">
        <f t="shared" si="28"/>
        <v/>
      </c>
      <c r="Y278" s="8"/>
      <c r="Z278" s="7"/>
      <c r="AA278" s="7"/>
      <c r="AB278" s="7"/>
      <c r="AC278" t="str">
        <f t="shared" si="29"/>
        <v/>
      </c>
    </row>
    <row r="279" spans="1:29" x14ac:dyDescent="0.3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9" t="str">
        <f>IF(J279="","",IFERROR(INDEX(Products!$B$5:$B$89,MATCH(J279,Products!$A$5:$A$89,0)),"Check ID"))</f>
        <v/>
      </c>
      <c r="L279" s="7"/>
      <c r="M279" s="10" t="str">
        <f>IF(J279="","",IFERROR(INDEX(Products!$E$5:$E$89,MATCH(J279,Products!$A$5:$A$89,0)),0))</f>
        <v/>
      </c>
      <c r="N279" s="11" t="str">
        <f>IF(L279="","",IFERROR(VLOOKUP(L279,'Discount Slabs'!$A$5:$B$9,2,TRUE()),0))</f>
        <v/>
      </c>
      <c r="O279" s="12"/>
      <c r="P279" s="10" t="str">
        <f t="shared" si="24"/>
        <v/>
      </c>
      <c r="Q279" s="10" t="str">
        <f t="shared" si="25"/>
        <v/>
      </c>
      <c r="R279" s="13"/>
      <c r="S279" s="10" t="str">
        <f t="shared" si="26"/>
        <v/>
      </c>
      <c r="T279" s="8"/>
      <c r="U279" s="7"/>
      <c r="V279" s="13"/>
      <c r="W279" s="9" t="str">
        <f t="shared" si="27"/>
        <v/>
      </c>
      <c r="X279" s="10" t="str">
        <f t="shared" si="28"/>
        <v/>
      </c>
      <c r="Y279" s="8"/>
      <c r="Z279" s="7"/>
      <c r="AA279" s="7"/>
      <c r="AB279" s="7"/>
      <c r="AC279" t="str">
        <f t="shared" si="29"/>
        <v/>
      </c>
    </row>
    <row r="280" spans="1:29" x14ac:dyDescent="0.3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9" t="str">
        <f>IF(J280="","",IFERROR(INDEX(Products!$B$5:$B$89,MATCH(J280,Products!$A$5:$A$89,0)),"Check ID"))</f>
        <v/>
      </c>
      <c r="L280" s="7"/>
      <c r="M280" s="10" t="str">
        <f>IF(J280="","",IFERROR(INDEX(Products!$E$5:$E$89,MATCH(J280,Products!$A$5:$A$89,0)),0))</f>
        <v/>
      </c>
      <c r="N280" s="11" t="str">
        <f>IF(L280="","",IFERROR(VLOOKUP(L280,'Discount Slabs'!$A$5:$B$9,2,TRUE()),0))</f>
        <v/>
      </c>
      <c r="O280" s="12"/>
      <c r="P280" s="10" t="str">
        <f t="shared" si="24"/>
        <v/>
      </c>
      <c r="Q280" s="10" t="str">
        <f t="shared" si="25"/>
        <v/>
      </c>
      <c r="R280" s="13"/>
      <c r="S280" s="10" t="str">
        <f t="shared" si="26"/>
        <v/>
      </c>
      <c r="T280" s="8"/>
      <c r="U280" s="7"/>
      <c r="V280" s="13"/>
      <c r="W280" s="9" t="str">
        <f t="shared" si="27"/>
        <v/>
      </c>
      <c r="X280" s="10" t="str">
        <f t="shared" si="28"/>
        <v/>
      </c>
      <c r="Y280" s="8"/>
      <c r="Z280" s="7"/>
      <c r="AA280" s="7"/>
      <c r="AB280" s="7"/>
      <c r="AC280" t="str">
        <f t="shared" si="29"/>
        <v/>
      </c>
    </row>
    <row r="281" spans="1:29" x14ac:dyDescent="0.3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9" t="str">
        <f>IF(J281="","",IFERROR(INDEX(Products!$B$5:$B$89,MATCH(J281,Products!$A$5:$A$89,0)),"Check ID"))</f>
        <v/>
      </c>
      <c r="L281" s="7"/>
      <c r="M281" s="10" t="str">
        <f>IF(J281="","",IFERROR(INDEX(Products!$E$5:$E$89,MATCH(J281,Products!$A$5:$A$89,0)),0))</f>
        <v/>
      </c>
      <c r="N281" s="11" t="str">
        <f>IF(L281="","",IFERROR(VLOOKUP(L281,'Discount Slabs'!$A$5:$B$9,2,TRUE()),0))</f>
        <v/>
      </c>
      <c r="O281" s="12"/>
      <c r="P281" s="10" t="str">
        <f t="shared" si="24"/>
        <v/>
      </c>
      <c r="Q281" s="10" t="str">
        <f t="shared" si="25"/>
        <v/>
      </c>
      <c r="R281" s="13"/>
      <c r="S281" s="10" t="str">
        <f t="shared" si="26"/>
        <v/>
      </c>
      <c r="T281" s="8"/>
      <c r="U281" s="7"/>
      <c r="V281" s="13"/>
      <c r="W281" s="9" t="str">
        <f t="shared" si="27"/>
        <v/>
      </c>
      <c r="X281" s="10" t="str">
        <f t="shared" si="28"/>
        <v/>
      </c>
      <c r="Y281" s="8"/>
      <c r="Z281" s="7"/>
      <c r="AA281" s="7"/>
      <c r="AB281" s="7"/>
      <c r="AC281" t="str">
        <f t="shared" si="29"/>
        <v/>
      </c>
    </row>
    <row r="282" spans="1:29" x14ac:dyDescent="0.3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9" t="str">
        <f>IF(J282="","",IFERROR(INDEX(Products!$B$5:$B$89,MATCH(J282,Products!$A$5:$A$89,0)),"Check ID"))</f>
        <v/>
      </c>
      <c r="L282" s="7"/>
      <c r="M282" s="10" t="str">
        <f>IF(J282="","",IFERROR(INDEX(Products!$E$5:$E$89,MATCH(J282,Products!$A$5:$A$89,0)),0))</f>
        <v/>
      </c>
      <c r="N282" s="11" t="str">
        <f>IF(L282="","",IFERROR(VLOOKUP(L282,'Discount Slabs'!$A$5:$B$9,2,TRUE()),0))</f>
        <v/>
      </c>
      <c r="O282" s="12"/>
      <c r="P282" s="10" t="str">
        <f t="shared" si="24"/>
        <v/>
      </c>
      <c r="Q282" s="10" t="str">
        <f t="shared" si="25"/>
        <v/>
      </c>
      <c r="R282" s="13"/>
      <c r="S282" s="10" t="str">
        <f t="shared" si="26"/>
        <v/>
      </c>
      <c r="T282" s="8"/>
      <c r="U282" s="7"/>
      <c r="V282" s="13"/>
      <c r="W282" s="9" t="str">
        <f t="shared" si="27"/>
        <v/>
      </c>
      <c r="X282" s="10" t="str">
        <f t="shared" si="28"/>
        <v/>
      </c>
      <c r="Y282" s="8"/>
      <c r="Z282" s="7"/>
      <c r="AA282" s="7"/>
      <c r="AB282" s="7"/>
      <c r="AC282" t="str">
        <f t="shared" si="29"/>
        <v/>
      </c>
    </row>
    <row r="283" spans="1:29" x14ac:dyDescent="0.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9" t="str">
        <f>IF(J283="","",IFERROR(INDEX(Products!$B$5:$B$89,MATCH(J283,Products!$A$5:$A$89,0)),"Check ID"))</f>
        <v/>
      </c>
      <c r="L283" s="7"/>
      <c r="M283" s="10" t="str">
        <f>IF(J283="","",IFERROR(INDEX(Products!$E$5:$E$89,MATCH(J283,Products!$A$5:$A$89,0)),0))</f>
        <v/>
      </c>
      <c r="N283" s="11" t="str">
        <f>IF(L283="","",IFERROR(VLOOKUP(L283,'Discount Slabs'!$A$5:$B$9,2,TRUE()),0))</f>
        <v/>
      </c>
      <c r="O283" s="12"/>
      <c r="P283" s="10" t="str">
        <f t="shared" si="24"/>
        <v/>
      </c>
      <c r="Q283" s="10" t="str">
        <f t="shared" si="25"/>
        <v/>
      </c>
      <c r="R283" s="13"/>
      <c r="S283" s="10" t="str">
        <f t="shared" si="26"/>
        <v/>
      </c>
      <c r="T283" s="8"/>
      <c r="U283" s="7"/>
      <c r="V283" s="13"/>
      <c r="W283" s="9" t="str">
        <f t="shared" si="27"/>
        <v/>
      </c>
      <c r="X283" s="10" t="str">
        <f t="shared" si="28"/>
        <v/>
      </c>
      <c r="Y283" s="8"/>
      <c r="Z283" s="7"/>
      <c r="AA283" s="7"/>
      <c r="AB283" s="7"/>
      <c r="AC283" t="str">
        <f t="shared" si="29"/>
        <v/>
      </c>
    </row>
    <row r="284" spans="1:29" x14ac:dyDescent="0.3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9" t="str">
        <f>IF(J284="","",IFERROR(INDEX(Products!$B$5:$B$89,MATCH(J284,Products!$A$5:$A$89,0)),"Check ID"))</f>
        <v/>
      </c>
      <c r="L284" s="7"/>
      <c r="M284" s="10" t="str">
        <f>IF(J284="","",IFERROR(INDEX(Products!$E$5:$E$89,MATCH(J284,Products!$A$5:$A$89,0)),0))</f>
        <v/>
      </c>
      <c r="N284" s="11" t="str">
        <f>IF(L284="","",IFERROR(VLOOKUP(L284,'Discount Slabs'!$A$5:$B$9,2,TRUE()),0))</f>
        <v/>
      </c>
      <c r="O284" s="12"/>
      <c r="P284" s="10" t="str">
        <f t="shared" si="24"/>
        <v/>
      </c>
      <c r="Q284" s="10" t="str">
        <f t="shared" si="25"/>
        <v/>
      </c>
      <c r="R284" s="13"/>
      <c r="S284" s="10" t="str">
        <f t="shared" si="26"/>
        <v/>
      </c>
      <c r="T284" s="8"/>
      <c r="U284" s="7"/>
      <c r="V284" s="13"/>
      <c r="W284" s="9" t="str">
        <f t="shared" si="27"/>
        <v/>
      </c>
      <c r="X284" s="10" t="str">
        <f t="shared" si="28"/>
        <v/>
      </c>
      <c r="Y284" s="8"/>
      <c r="Z284" s="7"/>
      <c r="AA284" s="7"/>
      <c r="AB284" s="7"/>
      <c r="AC284" t="str">
        <f t="shared" si="29"/>
        <v/>
      </c>
    </row>
    <row r="285" spans="1:29" x14ac:dyDescent="0.3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9" t="str">
        <f>IF(J285="","",IFERROR(INDEX(Products!$B$5:$B$89,MATCH(J285,Products!$A$5:$A$89,0)),"Check ID"))</f>
        <v/>
      </c>
      <c r="L285" s="7"/>
      <c r="M285" s="10" t="str">
        <f>IF(J285="","",IFERROR(INDEX(Products!$E$5:$E$89,MATCH(J285,Products!$A$5:$A$89,0)),0))</f>
        <v/>
      </c>
      <c r="N285" s="11" t="str">
        <f>IF(L285="","",IFERROR(VLOOKUP(L285,'Discount Slabs'!$A$5:$B$9,2,TRUE()),0))</f>
        <v/>
      </c>
      <c r="O285" s="12"/>
      <c r="P285" s="10" t="str">
        <f t="shared" si="24"/>
        <v/>
      </c>
      <c r="Q285" s="10" t="str">
        <f t="shared" si="25"/>
        <v/>
      </c>
      <c r="R285" s="13"/>
      <c r="S285" s="10" t="str">
        <f t="shared" si="26"/>
        <v/>
      </c>
      <c r="T285" s="8"/>
      <c r="U285" s="7"/>
      <c r="V285" s="13"/>
      <c r="W285" s="9" t="str">
        <f t="shared" si="27"/>
        <v/>
      </c>
      <c r="X285" s="10" t="str">
        <f t="shared" si="28"/>
        <v/>
      </c>
      <c r="Y285" s="8"/>
      <c r="Z285" s="7"/>
      <c r="AA285" s="7"/>
      <c r="AB285" s="7"/>
      <c r="AC285" t="str">
        <f t="shared" si="29"/>
        <v/>
      </c>
    </row>
    <row r="286" spans="1:29" x14ac:dyDescent="0.3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9" t="str">
        <f>IF(J286="","",IFERROR(INDEX(Products!$B$5:$B$89,MATCH(J286,Products!$A$5:$A$89,0)),"Check ID"))</f>
        <v/>
      </c>
      <c r="L286" s="7"/>
      <c r="M286" s="10" t="str">
        <f>IF(J286="","",IFERROR(INDEX(Products!$E$5:$E$89,MATCH(J286,Products!$A$5:$A$89,0)),0))</f>
        <v/>
      </c>
      <c r="N286" s="11" t="str">
        <f>IF(L286="","",IFERROR(VLOOKUP(L286,'Discount Slabs'!$A$5:$B$9,2,TRUE()),0))</f>
        <v/>
      </c>
      <c r="O286" s="12"/>
      <c r="P286" s="10" t="str">
        <f t="shared" si="24"/>
        <v/>
      </c>
      <c r="Q286" s="10" t="str">
        <f t="shared" si="25"/>
        <v/>
      </c>
      <c r="R286" s="13"/>
      <c r="S286" s="10" t="str">
        <f t="shared" si="26"/>
        <v/>
      </c>
      <c r="T286" s="8"/>
      <c r="U286" s="7"/>
      <c r="V286" s="13"/>
      <c r="W286" s="9" t="str">
        <f t="shared" si="27"/>
        <v/>
      </c>
      <c r="X286" s="10" t="str">
        <f t="shared" si="28"/>
        <v/>
      </c>
      <c r="Y286" s="8"/>
      <c r="Z286" s="7"/>
      <c r="AA286" s="7"/>
      <c r="AB286" s="7"/>
      <c r="AC286" t="str">
        <f t="shared" si="29"/>
        <v/>
      </c>
    </row>
    <row r="287" spans="1:29" x14ac:dyDescent="0.3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9" t="str">
        <f>IF(J287="","",IFERROR(INDEX(Products!$B$5:$B$89,MATCH(J287,Products!$A$5:$A$89,0)),"Check ID"))</f>
        <v/>
      </c>
      <c r="L287" s="7"/>
      <c r="M287" s="10" t="str">
        <f>IF(J287="","",IFERROR(INDEX(Products!$E$5:$E$89,MATCH(J287,Products!$A$5:$A$89,0)),0))</f>
        <v/>
      </c>
      <c r="N287" s="11" t="str">
        <f>IF(L287="","",IFERROR(VLOOKUP(L287,'Discount Slabs'!$A$5:$B$9,2,TRUE()),0))</f>
        <v/>
      </c>
      <c r="O287" s="12"/>
      <c r="P287" s="10" t="str">
        <f t="shared" si="24"/>
        <v/>
      </c>
      <c r="Q287" s="10" t="str">
        <f t="shared" si="25"/>
        <v/>
      </c>
      <c r="R287" s="13"/>
      <c r="S287" s="10" t="str">
        <f t="shared" si="26"/>
        <v/>
      </c>
      <c r="T287" s="8"/>
      <c r="U287" s="7"/>
      <c r="V287" s="13"/>
      <c r="W287" s="9" t="str">
        <f t="shared" si="27"/>
        <v/>
      </c>
      <c r="X287" s="10" t="str">
        <f t="shared" si="28"/>
        <v/>
      </c>
      <c r="Y287" s="8"/>
      <c r="Z287" s="7"/>
      <c r="AA287" s="7"/>
      <c r="AB287" s="7"/>
      <c r="AC287" t="str">
        <f t="shared" si="29"/>
        <v/>
      </c>
    </row>
    <row r="288" spans="1:29" x14ac:dyDescent="0.3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9" t="str">
        <f>IF(J288="","",IFERROR(INDEX(Products!$B$5:$B$89,MATCH(J288,Products!$A$5:$A$89,0)),"Check ID"))</f>
        <v/>
      </c>
      <c r="L288" s="7"/>
      <c r="M288" s="10" t="str">
        <f>IF(J288="","",IFERROR(INDEX(Products!$E$5:$E$89,MATCH(J288,Products!$A$5:$A$89,0)),0))</f>
        <v/>
      </c>
      <c r="N288" s="11" t="str">
        <f>IF(L288="","",IFERROR(VLOOKUP(L288,'Discount Slabs'!$A$5:$B$9,2,TRUE()),0))</f>
        <v/>
      </c>
      <c r="O288" s="12"/>
      <c r="P288" s="10" t="str">
        <f t="shared" si="24"/>
        <v/>
      </c>
      <c r="Q288" s="10" t="str">
        <f t="shared" si="25"/>
        <v/>
      </c>
      <c r="R288" s="13"/>
      <c r="S288" s="10" t="str">
        <f t="shared" si="26"/>
        <v/>
      </c>
      <c r="T288" s="8"/>
      <c r="U288" s="7"/>
      <c r="V288" s="13"/>
      <c r="W288" s="9" t="str">
        <f t="shared" si="27"/>
        <v/>
      </c>
      <c r="X288" s="10" t="str">
        <f t="shared" si="28"/>
        <v/>
      </c>
      <c r="Y288" s="8"/>
      <c r="Z288" s="7"/>
      <c r="AA288" s="7"/>
      <c r="AB288" s="7"/>
      <c r="AC288" t="str">
        <f t="shared" si="29"/>
        <v/>
      </c>
    </row>
    <row r="289" spans="1:29" x14ac:dyDescent="0.3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9" t="str">
        <f>IF(J289="","",IFERROR(INDEX(Products!$B$5:$B$89,MATCH(J289,Products!$A$5:$A$89,0)),"Check ID"))</f>
        <v/>
      </c>
      <c r="L289" s="7"/>
      <c r="M289" s="10" t="str">
        <f>IF(J289="","",IFERROR(INDEX(Products!$E$5:$E$89,MATCH(J289,Products!$A$5:$A$89,0)),0))</f>
        <v/>
      </c>
      <c r="N289" s="11" t="str">
        <f>IF(L289="","",IFERROR(VLOOKUP(L289,'Discount Slabs'!$A$5:$B$9,2,TRUE()),0))</f>
        <v/>
      </c>
      <c r="O289" s="12"/>
      <c r="P289" s="10" t="str">
        <f t="shared" si="24"/>
        <v/>
      </c>
      <c r="Q289" s="10" t="str">
        <f t="shared" si="25"/>
        <v/>
      </c>
      <c r="R289" s="13"/>
      <c r="S289" s="10" t="str">
        <f t="shared" si="26"/>
        <v/>
      </c>
      <c r="T289" s="8"/>
      <c r="U289" s="7"/>
      <c r="V289" s="13"/>
      <c r="W289" s="9" t="str">
        <f t="shared" si="27"/>
        <v/>
      </c>
      <c r="X289" s="10" t="str">
        <f t="shared" si="28"/>
        <v/>
      </c>
      <c r="Y289" s="8"/>
      <c r="Z289" s="7"/>
      <c r="AA289" s="7"/>
      <c r="AB289" s="7"/>
      <c r="AC289" t="str">
        <f t="shared" si="29"/>
        <v/>
      </c>
    </row>
    <row r="290" spans="1:29" x14ac:dyDescent="0.3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9" t="str">
        <f>IF(J290="","",IFERROR(INDEX(Products!$B$5:$B$89,MATCH(J290,Products!$A$5:$A$89,0)),"Check ID"))</f>
        <v/>
      </c>
      <c r="L290" s="7"/>
      <c r="M290" s="10" t="str">
        <f>IF(J290="","",IFERROR(INDEX(Products!$E$5:$E$89,MATCH(J290,Products!$A$5:$A$89,0)),0))</f>
        <v/>
      </c>
      <c r="N290" s="11" t="str">
        <f>IF(L290="","",IFERROR(VLOOKUP(L290,'Discount Slabs'!$A$5:$B$9,2,TRUE()),0))</f>
        <v/>
      </c>
      <c r="O290" s="12"/>
      <c r="P290" s="10" t="str">
        <f t="shared" si="24"/>
        <v/>
      </c>
      <c r="Q290" s="10" t="str">
        <f t="shared" si="25"/>
        <v/>
      </c>
      <c r="R290" s="13"/>
      <c r="S290" s="10" t="str">
        <f t="shared" si="26"/>
        <v/>
      </c>
      <c r="T290" s="8"/>
      <c r="U290" s="7"/>
      <c r="V290" s="13"/>
      <c r="W290" s="9" t="str">
        <f t="shared" si="27"/>
        <v/>
      </c>
      <c r="X290" s="10" t="str">
        <f t="shared" si="28"/>
        <v/>
      </c>
      <c r="Y290" s="8"/>
      <c r="Z290" s="7"/>
      <c r="AA290" s="7"/>
      <c r="AB290" s="7"/>
      <c r="AC290" t="str">
        <f t="shared" si="29"/>
        <v/>
      </c>
    </row>
    <row r="291" spans="1:29" x14ac:dyDescent="0.3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9" t="str">
        <f>IF(J291="","",IFERROR(INDEX(Products!$B$5:$B$89,MATCH(J291,Products!$A$5:$A$89,0)),"Check ID"))</f>
        <v/>
      </c>
      <c r="L291" s="7"/>
      <c r="M291" s="10" t="str">
        <f>IF(J291="","",IFERROR(INDEX(Products!$E$5:$E$89,MATCH(J291,Products!$A$5:$A$89,0)),0))</f>
        <v/>
      </c>
      <c r="N291" s="11" t="str">
        <f>IF(L291="","",IFERROR(VLOOKUP(L291,'Discount Slabs'!$A$5:$B$9,2,TRUE()),0))</f>
        <v/>
      </c>
      <c r="O291" s="12"/>
      <c r="P291" s="10" t="str">
        <f t="shared" si="24"/>
        <v/>
      </c>
      <c r="Q291" s="10" t="str">
        <f t="shared" si="25"/>
        <v/>
      </c>
      <c r="R291" s="13"/>
      <c r="S291" s="10" t="str">
        <f t="shared" si="26"/>
        <v/>
      </c>
      <c r="T291" s="8"/>
      <c r="U291" s="7"/>
      <c r="V291" s="13"/>
      <c r="W291" s="9" t="str">
        <f t="shared" si="27"/>
        <v/>
      </c>
      <c r="X291" s="10" t="str">
        <f t="shared" si="28"/>
        <v/>
      </c>
      <c r="Y291" s="8"/>
      <c r="Z291" s="7"/>
      <c r="AA291" s="7"/>
      <c r="AB291" s="7"/>
      <c r="AC291" t="str">
        <f t="shared" si="29"/>
        <v/>
      </c>
    </row>
    <row r="292" spans="1:29" x14ac:dyDescent="0.3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9" t="str">
        <f>IF(J292="","",IFERROR(INDEX(Products!$B$5:$B$89,MATCH(J292,Products!$A$5:$A$89,0)),"Check ID"))</f>
        <v/>
      </c>
      <c r="L292" s="7"/>
      <c r="M292" s="10" t="str">
        <f>IF(J292="","",IFERROR(INDEX(Products!$E$5:$E$89,MATCH(J292,Products!$A$5:$A$89,0)),0))</f>
        <v/>
      </c>
      <c r="N292" s="11" t="str">
        <f>IF(L292="","",IFERROR(VLOOKUP(L292,'Discount Slabs'!$A$5:$B$9,2,TRUE()),0))</f>
        <v/>
      </c>
      <c r="O292" s="12"/>
      <c r="P292" s="10" t="str">
        <f t="shared" si="24"/>
        <v/>
      </c>
      <c r="Q292" s="10" t="str">
        <f t="shared" si="25"/>
        <v/>
      </c>
      <c r="R292" s="13"/>
      <c r="S292" s="10" t="str">
        <f t="shared" si="26"/>
        <v/>
      </c>
      <c r="T292" s="8"/>
      <c r="U292" s="7"/>
      <c r="V292" s="13"/>
      <c r="W292" s="9" t="str">
        <f t="shared" si="27"/>
        <v/>
      </c>
      <c r="X292" s="10" t="str">
        <f t="shared" si="28"/>
        <v/>
      </c>
      <c r="Y292" s="8"/>
      <c r="Z292" s="7"/>
      <c r="AA292" s="7"/>
      <c r="AB292" s="7"/>
      <c r="AC292" t="str">
        <f t="shared" si="29"/>
        <v/>
      </c>
    </row>
    <row r="293" spans="1:29" x14ac:dyDescent="0.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9" t="str">
        <f>IF(J293="","",IFERROR(INDEX(Products!$B$5:$B$89,MATCH(J293,Products!$A$5:$A$89,0)),"Check ID"))</f>
        <v/>
      </c>
      <c r="L293" s="7"/>
      <c r="M293" s="10" t="str">
        <f>IF(J293="","",IFERROR(INDEX(Products!$E$5:$E$89,MATCH(J293,Products!$A$5:$A$89,0)),0))</f>
        <v/>
      </c>
      <c r="N293" s="11" t="str">
        <f>IF(L293="","",IFERROR(VLOOKUP(L293,'Discount Slabs'!$A$5:$B$9,2,TRUE()),0))</f>
        <v/>
      </c>
      <c r="O293" s="12"/>
      <c r="P293" s="10" t="str">
        <f t="shared" si="24"/>
        <v/>
      </c>
      <c r="Q293" s="10" t="str">
        <f t="shared" si="25"/>
        <v/>
      </c>
      <c r="R293" s="13"/>
      <c r="S293" s="10" t="str">
        <f t="shared" si="26"/>
        <v/>
      </c>
      <c r="T293" s="8"/>
      <c r="U293" s="7"/>
      <c r="V293" s="13"/>
      <c r="W293" s="9" t="str">
        <f t="shared" si="27"/>
        <v/>
      </c>
      <c r="X293" s="10" t="str">
        <f t="shared" si="28"/>
        <v/>
      </c>
      <c r="Y293" s="8"/>
      <c r="Z293" s="7"/>
      <c r="AA293" s="7"/>
      <c r="AB293" s="7"/>
      <c r="AC293" t="str">
        <f t="shared" si="29"/>
        <v/>
      </c>
    </row>
    <row r="294" spans="1:29" x14ac:dyDescent="0.3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9" t="str">
        <f>IF(J294="","",IFERROR(INDEX(Products!$B$5:$B$89,MATCH(J294,Products!$A$5:$A$89,0)),"Check ID"))</f>
        <v/>
      </c>
      <c r="L294" s="7"/>
      <c r="M294" s="10" t="str">
        <f>IF(J294="","",IFERROR(INDEX(Products!$E$5:$E$89,MATCH(J294,Products!$A$5:$A$89,0)),0))</f>
        <v/>
      </c>
      <c r="N294" s="11" t="str">
        <f>IF(L294="","",IFERROR(VLOOKUP(L294,'Discount Slabs'!$A$5:$B$9,2,TRUE()),0))</f>
        <v/>
      </c>
      <c r="O294" s="12"/>
      <c r="P294" s="10" t="str">
        <f t="shared" si="24"/>
        <v/>
      </c>
      <c r="Q294" s="10" t="str">
        <f t="shared" si="25"/>
        <v/>
      </c>
      <c r="R294" s="13"/>
      <c r="S294" s="10" t="str">
        <f t="shared" si="26"/>
        <v/>
      </c>
      <c r="T294" s="8"/>
      <c r="U294" s="7"/>
      <c r="V294" s="13"/>
      <c r="W294" s="9" t="str">
        <f t="shared" si="27"/>
        <v/>
      </c>
      <c r="X294" s="10" t="str">
        <f t="shared" si="28"/>
        <v/>
      </c>
      <c r="Y294" s="8"/>
      <c r="Z294" s="7"/>
      <c r="AA294" s="7"/>
      <c r="AB294" s="7"/>
      <c r="AC294" t="str">
        <f t="shared" si="29"/>
        <v/>
      </c>
    </row>
    <row r="295" spans="1:29" x14ac:dyDescent="0.3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9" t="str">
        <f>IF(J295="","",IFERROR(INDEX(Products!$B$5:$B$89,MATCH(J295,Products!$A$5:$A$89,0)),"Check ID"))</f>
        <v/>
      </c>
      <c r="L295" s="7"/>
      <c r="M295" s="10" t="str">
        <f>IF(J295="","",IFERROR(INDEX(Products!$E$5:$E$89,MATCH(J295,Products!$A$5:$A$89,0)),0))</f>
        <v/>
      </c>
      <c r="N295" s="11" t="str">
        <f>IF(L295="","",IFERROR(VLOOKUP(L295,'Discount Slabs'!$A$5:$B$9,2,TRUE()),0))</f>
        <v/>
      </c>
      <c r="O295" s="12"/>
      <c r="P295" s="10" t="str">
        <f t="shared" si="24"/>
        <v/>
      </c>
      <c r="Q295" s="10" t="str">
        <f t="shared" si="25"/>
        <v/>
      </c>
      <c r="R295" s="13"/>
      <c r="S295" s="10" t="str">
        <f t="shared" si="26"/>
        <v/>
      </c>
      <c r="T295" s="8"/>
      <c r="U295" s="7"/>
      <c r="V295" s="13"/>
      <c r="W295" s="9" t="str">
        <f t="shared" si="27"/>
        <v/>
      </c>
      <c r="X295" s="10" t="str">
        <f t="shared" si="28"/>
        <v/>
      </c>
      <c r="Y295" s="8"/>
      <c r="Z295" s="7"/>
      <c r="AA295" s="7"/>
      <c r="AB295" s="7"/>
      <c r="AC295" t="str">
        <f t="shared" si="29"/>
        <v/>
      </c>
    </row>
    <row r="296" spans="1:29" x14ac:dyDescent="0.3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9" t="str">
        <f>IF(J296="","",IFERROR(INDEX(Products!$B$5:$B$89,MATCH(J296,Products!$A$5:$A$89,0)),"Check ID"))</f>
        <v/>
      </c>
      <c r="L296" s="7"/>
      <c r="M296" s="10" t="str">
        <f>IF(J296="","",IFERROR(INDEX(Products!$E$5:$E$89,MATCH(J296,Products!$A$5:$A$89,0)),0))</f>
        <v/>
      </c>
      <c r="N296" s="11" t="str">
        <f>IF(L296="","",IFERROR(VLOOKUP(L296,'Discount Slabs'!$A$5:$B$9,2,TRUE()),0))</f>
        <v/>
      </c>
      <c r="O296" s="12"/>
      <c r="P296" s="10" t="str">
        <f t="shared" si="24"/>
        <v/>
      </c>
      <c r="Q296" s="10" t="str">
        <f t="shared" si="25"/>
        <v/>
      </c>
      <c r="R296" s="13"/>
      <c r="S296" s="10" t="str">
        <f t="shared" si="26"/>
        <v/>
      </c>
      <c r="T296" s="8"/>
      <c r="U296" s="7"/>
      <c r="V296" s="13"/>
      <c r="W296" s="9" t="str">
        <f t="shared" si="27"/>
        <v/>
      </c>
      <c r="X296" s="10" t="str">
        <f t="shared" si="28"/>
        <v/>
      </c>
      <c r="Y296" s="8"/>
      <c r="Z296" s="7"/>
      <c r="AA296" s="7"/>
      <c r="AB296" s="7"/>
      <c r="AC296" t="str">
        <f t="shared" si="29"/>
        <v/>
      </c>
    </row>
    <row r="297" spans="1:29" x14ac:dyDescent="0.3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9" t="str">
        <f>IF(J297="","",IFERROR(INDEX(Products!$B$5:$B$89,MATCH(J297,Products!$A$5:$A$89,0)),"Check ID"))</f>
        <v/>
      </c>
      <c r="L297" s="7"/>
      <c r="M297" s="10" t="str">
        <f>IF(J297="","",IFERROR(INDEX(Products!$E$5:$E$89,MATCH(J297,Products!$A$5:$A$89,0)),0))</f>
        <v/>
      </c>
      <c r="N297" s="11" t="str">
        <f>IF(L297="","",IFERROR(VLOOKUP(L297,'Discount Slabs'!$A$5:$B$9,2,TRUE()),0))</f>
        <v/>
      </c>
      <c r="O297" s="12"/>
      <c r="P297" s="10" t="str">
        <f t="shared" si="24"/>
        <v/>
      </c>
      <c r="Q297" s="10" t="str">
        <f t="shared" si="25"/>
        <v/>
      </c>
      <c r="R297" s="13"/>
      <c r="S297" s="10" t="str">
        <f t="shared" si="26"/>
        <v/>
      </c>
      <c r="T297" s="8"/>
      <c r="U297" s="7"/>
      <c r="V297" s="13"/>
      <c r="W297" s="9" t="str">
        <f t="shared" si="27"/>
        <v/>
      </c>
      <c r="X297" s="10" t="str">
        <f t="shared" si="28"/>
        <v/>
      </c>
      <c r="Y297" s="8"/>
      <c r="Z297" s="7"/>
      <c r="AA297" s="7"/>
      <c r="AB297" s="7"/>
      <c r="AC297" t="str">
        <f t="shared" si="29"/>
        <v/>
      </c>
    </row>
    <row r="298" spans="1:29" x14ac:dyDescent="0.3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9" t="str">
        <f>IF(J298="","",IFERROR(INDEX(Products!$B$5:$B$89,MATCH(J298,Products!$A$5:$A$89,0)),"Check ID"))</f>
        <v/>
      </c>
      <c r="L298" s="7"/>
      <c r="M298" s="10" t="str">
        <f>IF(J298="","",IFERROR(INDEX(Products!$E$5:$E$89,MATCH(J298,Products!$A$5:$A$89,0)),0))</f>
        <v/>
      </c>
      <c r="N298" s="11" t="str">
        <f>IF(L298="","",IFERROR(VLOOKUP(L298,'Discount Slabs'!$A$5:$B$9,2,TRUE()),0))</f>
        <v/>
      </c>
      <c r="O298" s="12"/>
      <c r="P298" s="10" t="str">
        <f t="shared" si="24"/>
        <v/>
      </c>
      <c r="Q298" s="10" t="str">
        <f t="shared" si="25"/>
        <v/>
      </c>
      <c r="R298" s="13"/>
      <c r="S298" s="10" t="str">
        <f t="shared" si="26"/>
        <v/>
      </c>
      <c r="T298" s="8"/>
      <c r="U298" s="7"/>
      <c r="V298" s="13"/>
      <c r="W298" s="9" t="str">
        <f t="shared" si="27"/>
        <v/>
      </c>
      <c r="X298" s="10" t="str">
        <f t="shared" si="28"/>
        <v/>
      </c>
      <c r="Y298" s="8"/>
      <c r="Z298" s="7"/>
      <c r="AA298" s="7"/>
      <c r="AB298" s="7"/>
      <c r="AC298" t="str">
        <f t="shared" si="29"/>
        <v/>
      </c>
    </row>
    <row r="299" spans="1:29" x14ac:dyDescent="0.3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9" t="str">
        <f>IF(J299="","",IFERROR(INDEX(Products!$B$5:$B$89,MATCH(J299,Products!$A$5:$A$89,0)),"Check ID"))</f>
        <v/>
      </c>
      <c r="L299" s="7"/>
      <c r="M299" s="10" t="str">
        <f>IF(J299="","",IFERROR(INDEX(Products!$E$5:$E$89,MATCH(J299,Products!$A$5:$A$89,0)),0))</f>
        <v/>
      </c>
      <c r="N299" s="11" t="str">
        <f>IF(L299="","",IFERROR(VLOOKUP(L299,'Discount Slabs'!$A$5:$B$9,2,TRUE()),0))</f>
        <v/>
      </c>
      <c r="O299" s="12"/>
      <c r="P299" s="10" t="str">
        <f t="shared" si="24"/>
        <v/>
      </c>
      <c r="Q299" s="10" t="str">
        <f t="shared" si="25"/>
        <v/>
      </c>
      <c r="R299" s="13"/>
      <c r="S299" s="10" t="str">
        <f t="shared" si="26"/>
        <v/>
      </c>
      <c r="T299" s="8"/>
      <c r="U299" s="7"/>
      <c r="V299" s="13"/>
      <c r="W299" s="9" t="str">
        <f t="shared" si="27"/>
        <v/>
      </c>
      <c r="X299" s="10" t="str">
        <f t="shared" si="28"/>
        <v/>
      </c>
      <c r="Y299" s="8"/>
      <c r="Z299" s="7"/>
      <c r="AA299" s="7"/>
      <c r="AB299" s="7"/>
      <c r="AC299" t="str">
        <f t="shared" si="29"/>
        <v/>
      </c>
    </row>
    <row r="300" spans="1:29" x14ac:dyDescent="0.3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9" t="str">
        <f>IF(J300="","",IFERROR(INDEX(Products!$B$5:$B$89,MATCH(J300,Products!$A$5:$A$89,0)),"Check ID"))</f>
        <v/>
      </c>
      <c r="L300" s="7"/>
      <c r="M300" s="10" t="str">
        <f>IF(J300="","",IFERROR(INDEX(Products!$E$5:$E$89,MATCH(J300,Products!$A$5:$A$89,0)),0))</f>
        <v/>
      </c>
      <c r="N300" s="11" t="str">
        <f>IF(L300="","",IFERROR(VLOOKUP(L300,'Discount Slabs'!$A$5:$B$9,2,TRUE()),0))</f>
        <v/>
      </c>
      <c r="O300" s="12"/>
      <c r="P300" s="10" t="str">
        <f t="shared" si="24"/>
        <v/>
      </c>
      <c r="Q300" s="10" t="str">
        <f t="shared" si="25"/>
        <v/>
      </c>
      <c r="R300" s="13"/>
      <c r="S300" s="10" t="str">
        <f t="shared" si="26"/>
        <v/>
      </c>
      <c r="T300" s="8"/>
      <c r="U300" s="7"/>
      <c r="V300" s="13"/>
      <c r="W300" s="9" t="str">
        <f t="shared" si="27"/>
        <v/>
      </c>
      <c r="X300" s="10" t="str">
        <f t="shared" si="28"/>
        <v/>
      </c>
      <c r="Y300" s="8"/>
      <c r="Z300" s="7"/>
      <c r="AA300" s="7"/>
      <c r="AB300" s="7"/>
      <c r="AC300" t="str">
        <f t="shared" si="29"/>
        <v/>
      </c>
    </row>
    <row r="301" spans="1:29" x14ac:dyDescent="0.3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9" t="str">
        <f>IF(J301="","",IFERROR(INDEX(Products!$B$5:$B$89,MATCH(J301,Products!$A$5:$A$89,0)),"Check ID"))</f>
        <v/>
      </c>
      <c r="L301" s="7"/>
      <c r="M301" s="10" t="str">
        <f>IF(J301="","",IFERROR(INDEX(Products!$E$5:$E$89,MATCH(J301,Products!$A$5:$A$89,0)),0))</f>
        <v/>
      </c>
      <c r="N301" s="11" t="str">
        <f>IF(L301="","",IFERROR(VLOOKUP(L301,'Discount Slabs'!$A$5:$B$9,2,TRUE()),0))</f>
        <v/>
      </c>
      <c r="O301" s="12"/>
      <c r="P301" s="10" t="str">
        <f t="shared" si="24"/>
        <v/>
      </c>
      <c r="Q301" s="10" t="str">
        <f t="shared" si="25"/>
        <v/>
      </c>
      <c r="R301" s="13"/>
      <c r="S301" s="10" t="str">
        <f t="shared" si="26"/>
        <v/>
      </c>
      <c r="T301" s="8"/>
      <c r="U301" s="7"/>
      <c r="V301" s="13"/>
      <c r="W301" s="9" t="str">
        <f t="shared" si="27"/>
        <v/>
      </c>
      <c r="X301" s="10" t="str">
        <f t="shared" si="28"/>
        <v/>
      </c>
      <c r="Y301" s="8"/>
      <c r="Z301" s="7"/>
      <c r="AA301" s="7"/>
      <c r="AB301" s="7"/>
      <c r="AC301" t="str">
        <f t="shared" si="29"/>
        <v/>
      </c>
    </row>
    <row r="302" spans="1:29" x14ac:dyDescent="0.3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9" t="str">
        <f>IF(J302="","",IFERROR(INDEX(Products!$B$5:$B$89,MATCH(J302,Products!$A$5:$A$89,0)),"Check ID"))</f>
        <v/>
      </c>
      <c r="L302" s="7"/>
      <c r="M302" s="10" t="str">
        <f>IF(J302="","",IFERROR(INDEX(Products!$E$5:$E$89,MATCH(J302,Products!$A$5:$A$89,0)),0))</f>
        <v/>
      </c>
      <c r="N302" s="11" t="str">
        <f>IF(L302="","",IFERROR(VLOOKUP(L302,'Discount Slabs'!$A$5:$B$9,2,TRUE()),0))</f>
        <v/>
      </c>
      <c r="O302" s="12"/>
      <c r="P302" s="10" t="str">
        <f t="shared" si="24"/>
        <v/>
      </c>
      <c r="Q302" s="10" t="str">
        <f t="shared" si="25"/>
        <v/>
      </c>
      <c r="R302" s="13"/>
      <c r="S302" s="10" t="str">
        <f t="shared" si="26"/>
        <v/>
      </c>
      <c r="T302" s="8"/>
      <c r="U302" s="7"/>
      <c r="V302" s="13"/>
      <c r="W302" s="9" t="str">
        <f t="shared" si="27"/>
        <v/>
      </c>
      <c r="X302" s="10" t="str">
        <f t="shared" si="28"/>
        <v/>
      </c>
      <c r="Y302" s="8"/>
      <c r="Z302" s="7"/>
      <c r="AA302" s="7"/>
      <c r="AB302" s="7"/>
      <c r="AC302" t="str">
        <f t="shared" si="29"/>
        <v/>
      </c>
    </row>
    <row r="303" spans="1:29" x14ac:dyDescent="0.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9" t="str">
        <f>IF(J303="","",IFERROR(INDEX(Products!$B$5:$B$89,MATCH(J303,Products!$A$5:$A$89,0)),"Check ID"))</f>
        <v/>
      </c>
      <c r="L303" s="7"/>
      <c r="M303" s="10" t="str">
        <f>IF(J303="","",IFERROR(INDEX(Products!$E$5:$E$89,MATCH(J303,Products!$A$5:$A$89,0)),0))</f>
        <v/>
      </c>
      <c r="N303" s="11" t="str">
        <f>IF(L303="","",IFERROR(VLOOKUP(L303,'Discount Slabs'!$A$5:$B$9,2,TRUE()),0))</f>
        <v/>
      </c>
      <c r="O303" s="12"/>
      <c r="P303" s="10" t="str">
        <f t="shared" si="24"/>
        <v/>
      </c>
      <c r="Q303" s="10" t="str">
        <f t="shared" si="25"/>
        <v/>
      </c>
      <c r="R303" s="13"/>
      <c r="S303" s="10" t="str">
        <f t="shared" si="26"/>
        <v/>
      </c>
      <c r="T303" s="8"/>
      <c r="U303" s="7"/>
      <c r="V303" s="13"/>
      <c r="W303" s="9" t="str">
        <f t="shared" si="27"/>
        <v/>
      </c>
      <c r="X303" s="10" t="str">
        <f t="shared" si="28"/>
        <v/>
      </c>
      <c r="Y303" s="8"/>
      <c r="Z303" s="7"/>
      <c r="AA303" s="7"/>
      <c r="AB303" s="7"/>
      <c r="AC303" t="str">
        <f t="shared" si="29"/>
        <v/>
      </c>
    </row>
    <row r="304" spans="1:29" x14ac:dyDescent="0.3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9" t="str">
        <f>IF(J304="","",IFERROR(INDEX(Products!$B$5:$B$89,MATCH(J304,Products!$A$5:$A$89,0)),"Check ID"))</f>
        <v/>
      </c>
      <c r="L304" s="7"/>
      <c r="M304" s="10" t="str">
        <f>IF(J304="","",IFERROR(INDEX(Products!$E$5:$E$89,MATCH(J304,Products!$A$5:$A$89,0)),0))</f>
        <v/>
      </c>
      <c r="N304" s="11" t="str">
        <f>IF(L304="","",IFERROR(VLOOKUP(L304,'Discount Slabs'!$A$5:$B$9,2,TRUE()),0))</f>
        <v/>
      </c>
      <c r="O304" s="12"/>
      <c r="P304" s="10" t="str">
        <f t="shared" si="24"/>
        <v/>
      </c>
      <c r="Q304" s="10" t="str">
        <f t="shared" si="25"/>
        <v/>
      </c>
      <c r="R304" s="13"/>
      <c r="S304" s="10" t="str">
        <f t="shared" si="26"/>
        <v/>
      </c>
      <c r="T304" s="8"/>
      <c r="U304" s="7"/>
      <c r="V304" s="13"/>
      <c r="W304" s="9" t="str">
        <f t="shared" si="27"/>
        <v/>
      </c>
      <c r="X304" s="10" t="str">
        <f t="shared" si="28"/>
        <v/>
      </c>
      <c r="Y304" s="8"/>
      <c r="Z304" s="7"/>
      <c r="AA304" s="7"/>
      <c r="AB304" s="7"/>
      <c r="AC304" t="str">
        <f t="shared" si="29"/>
        <v/>
      </c>
    </row>
    <row r="305" spans="1:29" x14ac:dyDescent="0.3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9" t="str">
        <f>IF(J305="","",IFERROR(INDEX(Products!$B$5:$B$89,MATCH(J305,Products!$A$5:$A$89,0)),"Check ID"))</f>
        <v/>
      </c>
      <c r="L305" s="7"/>
      <c r="M305" s="10" t="str">
        <f>IF(J305="","",IFERROR(INDEX(Products!$E$5:$E$89,MATCH(J305,Products!$A$5:$A$89,0)),0))</f>
        <v/>
      </c>
      <c r="N305" s="11" t="str">
        <f>IF(L305="","",IFERROR(VLOOKUP(L305,'Discount Slabs'!$A$5:$B$9,2,TRUE()),0))</f>
        <v/>
      </c>
      <c r="O305" s="12"/>
      <c r="P305" s="10" t="str">
        <f t="shared" si="24"/>
        <v/>
      </c>
      <c r="Q305" s="10" t="str">
        <f t="shared" si="25"/>
        <v/>
      </c>
      <c r="R305" s="13"/>
      <c r="S305" s="10" t="str">
        <f t="shared" si="26"/>
        <v/>
      </c>
      <c r="T305" s="8"/>
      <c r="U305" s="7"/>
      <c r="V305" s="13"/>
      <c r="W305" s="9" t="str">
        <f t="shared" si="27"/>
        <v/>
      </c>
      <c r="X305" s="10" t="str">
        <f t="shared" si="28"/>
        <v/>
      </c>
      <c r="Y305" s="8"/>
      <c r="Z305" s="7"/>
      <c r="AA305" s="7"/>
      <c r="AB305" s="7"/>
      <c r="AC305" t="str">
        <f t="shared" si="29"/>
        <v/>
      </c>
    </row>
    <row r="306" spans="1:29" x14ac:dyDescent="0.3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9" t="str">
        <f>IF(J306="","",IFERROR(INDEX(Products!$B$5:$B$89,MATCH(J306,Products!$A$5:$A$89,0)),"Check ID"))</f>
        <v/>
      </c>
      <c r="L306" s="7"/>
      <c r="M306" s="10" t="str">
        <f>IF(J306="","",IFERROR(INDEX(Products!$E$5:$E$89,MATCH(J306,Products!$A$5:$A$89,0)),0))</f>
        <v/>
      </c>
      <c r="N306" s="11" t="str">
        <f>IF(L306="","",IFERROR(VLOOKUP(L306,'Discount Slabs'!$A$5:$B$9,2,TRUE()),0))</f>
        <v/>
      </c>
      <c r="O306" s="12"/>
      <c r="P306" s="10" t="str">
        <f t="shared" si="24"/>
        <v/>
      </c>
      <c r="Q306" s="10" t="str">
        <f t="shared" si="25"/>
        <v/>
      </c>
      <c r="R306" s="13"/>
      <c r="S306" s="10" t="str">
        <f t="shared" si="26"/>
        <v/>
      </c>
      <c r="T306" s="8"/>
      <c r="U306" s="7"/>
      <c r="V306" s="13"/>
      <c r="W306" s="9" t="str">
        <f t="shared" si="27"/>
        <v/>
      </c>
      <c r="X306" s="10" t="str">
        <f t="shared" si="28"/>
        <v/>
      </c>
      <c r="Y306" s="8"/>
      <c r="Z306" s="7"/>
      <c r="AA306" s="7"/>
      <c r="AB306" s="7"/>
      <c r="AC306" t="str">
        <f t="shared" si="29"/>
        <v/>
      </c>
    </row>
    <row r="307" spans="1:29" x14ac:dyDescent="0.3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9" t="str">
        <f>IF(J307="","",IFERROR(INDEX(Products!$B$5:$B$89,MATCH(J307,Products!$A$5:$A$89,0)),"Check ID"))</f>
        <v/>
      </c>
      <c r="L307" s="7"/>
      <c r="M307" s="10" t="str">
        <f>IF(J307="","",IFERROR(INDEX(Products!$E$5:$E$89,MATCH(J307,Products!$A$5:$A$89,0)),0))</f>
        <v/>
      </c>
      <c r="N307" s="11" t="str">
        <f>IF(L307="","",IFERROR(VLOOKUP(L307,'Discount Slabs'!$A$5:$B$9,2,TRUE()),0))</f>
        <v/>
      </c>
      <c r="O307" s="12"/>
      <c r="P307" s="10" t="str">
        <f t="shared" si="24"/>
        <v/>
      </c>
      <c r="Q307" s="10" t="str">
        <f t="shared" si="25"/>
        <v/>
      </c>
      <c r="R307" s="13"/>
      <c r="S307" s="10" t="str">
        <f t="shared" si="26"/>
        <v/>
      </c>
      <c r="T307" s="8"/>
      <c r="U307" s="7"/>
      <c r="V307" s="13"/>
      <c r="W307" s="9" t="str">
        <f t="shared" si="27"/>
        <v/>
      </c>
      <c r="X307" s="10" t="str">
        <f t="shared" si="28"/>
        <v/>
      </c>
      <c r="Y307" s="8"/>
      <c r="Z307" s="7"/>
      <c r="AA307" s="7"/>
      <c r="AB307" s="7"/>
      <c r="AC307" t="str">
        <f t="shared" si="29"/>
        <v/>
      </c>
    </row>
    <row r="308" spans="1:29" x14ac:dyDescent="0.3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9" t="str">
        <f>IF(J308="","",IFERROR(INDEX(Products!$B$5:$B$89,MATCH(J308,Products!$A$5:$A$89,0)),"Check ID"))</f>
        <v/>
      </c>
      <c r="L308" s="7"/>
      <c r="M308" s="10" t="str">
        <f>IF(J308="","",IFERROR(INDEX(Products!$E$5:$E$89,MATCH(J308,Products!$A$5:$A$89,0)),0))</f>
        <v/>
      </c>
      <c r="N308" s="11" t="str">
        <f>IF(L308="","",IFERROR(VLOOKUP(L308,'Discount Slabs'!$A$5:$B$9,2,TRUE()),0))</f>
        <v/>
      </c>
      <c r="O308" s="12"/>
      <c r="P308" s="10" t="str">
        <f t="shared" si="24"/>
        <v/>
      </c>
      <c r="Q308" s="10" t="str">
        <f t="shared" si="25"/>
        <v/>
      </c>
      <c r="R308" s="13"/>
      <c r="S308" s="10" t="str">
        <f t="shared" si="26"/>
        <v/>
      </c>
      <c r="T308" s="8"/>
      <c r="U308" s="7"/>
      <c r="V308" s="13"/>
      <c r="W308" s="9" t="str">
        <f t="shared" si="27"/>
        <v/>
      </c>
      <c r="X308" s="10" t="str">
        <f t="shared" si="28"/>
        <v/>
      </c>
      <c r="Y308" s="8"/>
      <c r="Z308" s="7"/>
      <c r="AA308" s="7"/>
      <c r="AB308" s="7"/>
      <c r="AC308" t="str">
        <f t="shared" si="29"/>
        <v/>
      </c>
    </row>
    <row r="309" spans="1:29" x14ac:dyDescent="0.3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9" t="str">
        <f>IF(J309="","",IFERROR(INDEX(Products!$B$5:$B$89,MATCH(J309,Products!$A$5:$A$89,0)),"Check ID"))</f>
        <v/>
      </c>
      <c r="L309" s="7"/>
      <c r="M309" s="10" t="str">
        <f>IF(J309="","",IFERROR(INDEX(Products!$E$5:$E$89,MATCH(J309,Products!$A$5:$A$89,0)),0))</f>
        <v/>
      </c>
      <c r="N309" s="11" t="str">
        <f>IF(L309="","",IFERROR(VLOOKUP(L309,'Discount Slabs'!$A$5:$B$9,2,TRUE()),0))</f>
        <v/>
      </c>
      <c r="O309" s="12"/>
      <c r="P309" s="10" t="str">
        <f t="shared" si="24"/>
        <v/>
      </c>
      <c r="Q309" s="10" t="str">
        <f t="shared" si="25"/>
        <v/>
      </c>
      <c r="R309" s="13"/>
      <c r="S309" s="10" t="str">
        <f t="shared" si="26"/>
        <v/>
      </c>
      <c r="T309" s="8"/>
      <c r="U309" s="7"/>
      <c r="V309" s="13"/>
      <c r="W309" s="9" t="str">
        <f t="shared" si="27"/>
        <v/>
      </c>
      <c r="X309" s="10" t="str">
        <f t="shared" si="28"/>
        <v/>
      </c>
      <c r="Y309" s="8"/>
      <c r="Z309" s="7"/>
      <c r="AA309" s="7"/>
      <c r="AB309" s="7"/>
      <c r="AC309" t="str">
        <f t="shared" si="29"/>
        <v/>
      </c>
    </row>
    <row r="310" spans="1:29" x14ac:dyDescent="0.3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9" t="str">
        <f>IF(J310="","",IFERROR(INDEX(Products!$B$5:$B$89,MATCH(J310,Products!$A$5:$A$89,0)),"Check ID"))</f>
        <v/>
      </c>
      <c r="L310" s="7"/>
      <c r="M310" s="10" t="str">
        <f>IF(J310="","",IFERROR(INDEX(Products!$E$5:$E$89,MATCH(J310,Products!$A$5:$A$89,0)),0))</f>
        <v/>
      </c>
      <c r="N310" s="11" t="str">
        <f>IF(L310="","",IFERROR(VLOOKUP(L310,'Discount Slabs'!$A$5:$B$9,2,TRUE()),0))</f>
        <v/>
      </c>
      <c r="O310" s="12"/>
      <c r="P310" s="10" t="str">
        <f t="shared" si="24"/>
        <v/>
      </c>
      <c r="Q310" s="10" t="str">
        <f t="shared" si="25"/>
        <v/>
      </c>
      <c r="R310" s="13"/>
      <c r="S310" s="10" t="str">
        <f t="shared" si="26"/>
        <v/>
      </c>
      <c r="T310" s="8"/>
      <c r="U310" s="7"/>
      <c r="V310" s="13"/>
      <c r="W310" s="9" t="str">
        <f t="shared" si="27"/>
        <v/>
      </c>
      <c r="X310" s="10" t="str">
        <f t="shared" si="28"/>
        <v/>
      </c>
      <c r="Y310" s="8"/>
      <c r="Z310" s="7"/>
      <c r="AA310" s="7"/>
      <c r="AB310" s="7"/>
      <c r="AC310" t="str">
        <f t="shared" si="29"/>
        <v/>
      </c>
    </row>
    <row r="311" spans="1:29" x14ac:dyDescent="0.3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9" t="str">
        <f>IF(J311="","",IFERROR(INDEX(Products!$B$5:$B$89,MATCH(J311,Products!$A$5:$A$89,0)),"Check ID"))</f>
        <v/>
      </c>
      <c r="L311" s="7"/>
      <c r="M311" s="10" t="str">
        <f>IF(J311="","",IFERROR(INDEX(Products!$E$5:$E$89,MATCH(J311,Products!$A$5:$A$89,0)),0))</f>
        <v/>
      </c>
      <c r="N311" s="11" t="str">
        <f>IF(L311="","",IFERROR(VLOOKUP(L311,'Discount Slabs'!$A$5:$B$9,2,TRUE()),0))</f>
        <v/>
      </c>
      <c r="O311" s="12"/>
      <c r="P311" s="10" t="str">
        <f t="shared" si="24"/>
        <v/>
      </c>
      <c r="Q311" s="10" t="str">
        <f t="shared" si="25"/>
        <v/>
      </c>
      <c r="R311" s="13"/>
      <c r="S311" s="10" t="str">
        <f t="shared" si="26"/>
        <v/>
      </c>
      <c r="T311" s="8"/>
      <c r="U311" s="7"/>
      <c r="V311" s="13"/>
      <c r="W311" s="9" t="str">
        <f t="shared" si="27"/>
        <v/>
      </c>
      <c r="X311" s="10" t="str">
        <f t="shared" si="28"/>
        <v/>
      </c>
      <c r="Y311" s="8"/>
      <c r="Z311" s="7"/>
      <c r="AA311" s="7"/>
      <c r="AB311" s="7"/>
      <c r="AC311" t="str">
        <f t="shared" si="29"/>
        <v/>
      </c>
    </row>
    <row r="312" spans="1:29" x14ac:dyDescent="0.3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9" t="str">
        <f>IF(J312="","",IFERROR(INDEX(Products!$B$5:$B$89,MATCH(J312,Products!$A$5:$A$89,0)),"Check ID"))</f>
        <v/>
      </c>
      <c r="L312" s="7"/>
      <c r="M312" s="10" t="str">
        <f>IF(J312="","",IFERROR(INDEX(Products!$E$5:$E$89,MATCH(J312,Products!$A$5:$A$89,0)),0))</f>
        <v/>
      </c>
      <c r="N312" s="11" t="str">
        <f>IF(L312="","",IFERROR(VLOOKUP(L312,'Discount Slabs'!$A$5:$B$9,2,TRUE()),0))</f>
        <v/>
      </c>
      <c r="O312" s="12"/>
      <c r="P312" s="10" t="str">
        <f t="shared" si="24"/>
        <v/>
      </c>
      <c r="Q312" s="10" t="str">
        <f t="shared" si="25"/>
        <v/>
      </c>
      <c r="R312" s="13"/>
      <c r="S312" s="10" t="str">
        <f t="shared" si="26"/>
        <v/>
      </c>
      <c r="T312" s="8"/>
      <c r="U312" s="7"/>
      <c r="V312" s="13"/>
      <c r="W312" s="9" t="str">
        <f t="shared" si="27"/>
        <v/>
      </c>
      <c r="X312" s="10" t="str">
        <f t="shared" si="28"/>
        <v/>
      </c>
      <c r="Y312" s="8"/>
      <c r="Z312" s="7"/>
      <c r="AA312" s="7"/>
      <c r="AB312" s="7"/>
      <c r="AC312" t="str">
        <f t="shared" si="29"/>
        <v/>
      </c>
    </row>
    <row r="313" spans="1:29" x14ac:dyDescent="0.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9" t="str">
        <f>IF(J313="","",IFERROR(INDEX(Products!$B$5:$B$89,MATCH(J313,Products!$A$5:$A$89,0)),"Check ID"))</f>
        <v/>
      </c>
      <c r="L313" s="7"/>
      <c r="M313" s="10" t="str">
        <f>IF(J313="","",IFERROR(INDEX(Products!$E$5:$E$89,MATCH(J313,Products!$A$5:$A$89,0)),0))</f>
        <v/>
      </c>
      <c r="N313" s="11" t="str">
        <f>IF(L313="","",IFERROR(VLOOKUP(L313,'Discount Slabs'!$A$5:$B$9,2,TRUE()),0))</f>
        <v/>
      </c>
      <c r="O313" s="12"/>
      <c r="P313" s="10" t="str">
        <f t="shared" si="24"/>
        <v/>
      </c>
      <c r="Q313" s="10" t="str">
        <f t="shared" si="25"/>
        <v/>
      </c>
      <c r="R313" s="13"/>
      <c r="S313" s="10" t="str">
        <f t="shared" si="26"/>
        <v/>
      </c>
      <c r="T313" s="8"/>
      <c r="U313" s="7"/>
      <c r="V313" s="13"/>
      <c r="W313" s="9" t="str">
        <f t="shared" si="27"/>
        <v/>
      </c>
      <c r="X313" s="10" t="str">
        <f t="shared" si="28"/>
        <v/>
      </c>
      <c r="Y313" s="8"/>
      <c r="Z313" s="7"/>
      <c r="AA313" s="7"/>
      <c r="AB313" s="7"/>
      <c r="AC313" t="str">
        <f t="shared" si="29"/>
        <v/>
      </c>
    </row>
    <row r="314" spans="1:29" x14ac:dyDescent="0.3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9" t="str">
        <f>IF(J314="","",IFERROR(INDEX(Products!$B$5:$B$89,MATCH(J314,Products!$A$5:$A$89,0)),"Check ID"))</f>
        <v/>
      </c>
      <c r="L314" s="7"/>
      <c r="M314" s="10" t="str">
        <f>IF(J314="","",IFERROR(INDEX(Products!$E$5:$E$89,MATCH(J314,Products!$A$5:$A$89,0)),0))</f>
        <v/>
      </c>
      <c r="N314" s="11" t="str">
        <f>IF(L314="","",IFERROR(VLOOKUP(L314,'Discount Slabs'!$A$5:$B$9,2,TRUE()),0))</f>
        <v/>
      </c>
      <c r="O314" s="12"/>
      <c r="P314" s="10" t="str">
        <f t="shared" si="24"/>
        <v/>
      </c>
      <c r="Q314" s="10" t="str">
        <f t="shared" si="25"/>
        <v/>
      </c>
      <c r="R314" s="13"/>
      <c r="S314" s="10" t="str">
        <f t="shared" si="26"/>
        <v/>
      </c>
      <c r="T314" s="8"/>
      <c r="U314" s="7"/>
      <c r="V314" s="13"/>
      <c r="W314" s="9" t="str">
        <f t="shared" si="27"/>
        <v/>
      </c>
      <c r="X314" s="10" t="str">
        <f t="shared" si="28"/>
        <v/>
      </c>
      <c r="Y314" s="8"/>
      <c r="Z314" s="7"/>
      <c r="AA314" s="7"/>
      <c r="AB314" s="7"/>
      <c r="AC314" t="str">
        <f t="shared" si="29"/>
        <v/>
      </c>
    </row>
    <row r="315" spans="1:29" x14ac:dyDescent="0.3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9" t="str">
        <f>IF(J315="","",IFERROR(INDEX(Products!$B$5:$B$89,MATCH(J315,Products!$A$5:$A$89,0)),"Check ID"))</f>
        <v/>
      </c>
      <c r="L315" s="7"/>
      <c r="M315" s="10" t="str">
        <f>IF(J315="","",IFERROR(INDEX(Products!$E$5:$E$89,MATCH(J315,Products!$A$5:$A$89,0)),0))</f>
        <v/>
      </c>
      <c r="N315" s="11" t="str">
        <f>IF(L315="","",IFERROR(VLOOKUP(L315,'Discount Slabs'!$A$5:$B$9,2,TRUE()),0))</f>
        <v/>
      </c>
      <c r="O315" s="12"/>
      <c r="P315" s="10" t="str">
        <f t="shared" si="24"/>
        <v/>
      </c>
      <c r="Q315" s="10" t="str">
        <f t="shared" si="25"/>
        <v/>
      </c>
      <c r="R315" s="13"/>
      <c r="S315" s="10" t="str">
        <f t="shared" si="26"/>
        <v/>
      </c>
      <c r="T315" s="8"/>
      <c r="U315" s="7"/>
      <c r="V315" s="13"/>
      <c r="W315" s="9" t="str">
        <f t="shared" si="27"/>
        <v/>
      </c>
      <c r="X315" s="10" t="str">
        <f t="shared" si="28"/>
        <v/>
      </c>
      <c r="Y315" s="8"/>
      <c r="Z315" s="7"/>
      <c r="AA315" s="7"/>
      <c r="AB315" s="7"/>
      <c r="AC315" t="str">
        <f t="shared" si="29"/>
        <v/>
      </c>
    </row>
    <row r="316" spans="1:29" x14ac:dyDescent="0.3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9" t="str">
        <f>IF(J316="","",IFERROR(INDEX(Products!$B$5:$B$89,MATCH(J316,Products!$A$5:$A$89,0)),"Check ID"))</f>
        <v/>
      </c>
      <c r="L316" s="7"/>
      <c r="M316" s="10" t="str">
        <f>IF(J316="","",IFERROR(INDEX(Products!$E$5:$E$89,MATCH(J316,Products!$A$5:$A$89,0)),0))</f>
        <v/>
      </c>
      <c r="N316" s="11" t="str">
        <f>IF(L316="","",IFERROR(VLOOKUP(L316,'Discount Slabs'!$A$5:$B$9,2,TRUE()),0))</f>
        <v/>
      </c>
      <c r="O316" s="12"/>
      <c r="P316" s="10" t="str">
        <f t="shared" si="24"/>
        <v/>
      </c>
      <c r="Q316" s="10" t="str">
        <f t="shared" si="25"/>
        <v/>
      </c>
      <c r="R316" s="13"/>
      <c r="S316" s="10" t="str">
        <f t="shared" si="26"/>
        <v/>
      </c>
      <c r="T316" s="8"/>
      <c r="U316" s="7"/>
      <c r="V316" s="13"/>
      <c r="W316" s="9" t="str">
        <f t="shared" si="27"/>
        <v/>
      </c>
      <c r="X316" s="10" t="str">
        <f t="shared" si="28"/>
        <v/>
      </c>
      <c r="Y316" s="8"/>
      <c r="Z316" s="7"/>
      <c r="AA316" s="7"/>
      <c r="AB316" s="7"/>
      <c r="AC316" t="str">
        <f t="shared" si="29"/>
        <v/>
      </c>
    </row>
    <row r="317" spans="1:29" x14ac:dyDescent="0.3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9" t="str">
        <f>IF(J317="","",IFERROR(INDEX(Products!$B$5:$B$89,MATCH(J317,Products!$A$5:$A$89,0)),"Check ID"))</f>
        <v/>
      </c>
      <c r="L317" s="7"/>
      <c r="M317" s="10" t="str">
        <f>IF(J317="","",IFERROR(INDEX(Products!$E$5:$E$89,MATCH(J317,Products!$A$5:$A$89,0)),0))</f>
        <v/>
      </c>
      <c r="N317" s="11" t="str">
        <f>IF(L317="","",IFERROR(VLOOKUP(L317,'Discount Slabs'!$A$5:$B$9,2,TRUE()),0))</f>
        <v/>
      </c>
      <c r="O317" s="12"/>
      <c r="P317" s="10" t="str">
        <f t="shared" si="24"/>
        <v/>
      </c>
      <c r="Q317" s="10" t="str">
        <f t="shared" si="25"/>
        <v/>
      </c>
      <c r="R317" s="13"/>
      <c r="S317" s="10" t="str">
        <f t="shared" si="26"/>
        <v/>
      </c>
      <c r="T317" s="8"/>
      <c r="U317" s="7"/>
      <c r="V317" s="13"/>
      <c r="W317" s="9" t="str">
        <f t="shared" si="27"/>
        <v/>
      </c>
      <c r="X317" s="10" t="str">
        <f t="shared" si="28"/>
        <v/>
      </c>
      <c r="Y317" s="8"/>
      <c r="Z317" s="7"/>
      <c r="AA317" s="7"/>
      <c r="AB317" s="7"/>
      <c r="AC317" t="str">
        <f t="shared" si="29"/>
        <v/>
      </c>
    </row>
    <row r="318" spans="1:29" x14ac:dyDescent="0.3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9" t="str">
        <f>IF(J318="","",IFERROR(INDEX(Products!$B$5:$B$89,MATCH(J318,Products!$A$5:$A$89,0)),"Check ID"))</f>
        <v/>
      </c>
      <c r="L318" s="7"/>
      <c r="M318" s="10" t="str">
        <f>IF(J318="","",IFERROR(INDEX(Products!$E$5:$E$89,MATCH(J318,Products!$A$5:$A$89,0)),0))</f>
        <v/>
      </c>
      <c r="N318" s="11" t="str">
        <f>IF(L318="","",IFERROR(VLOOKUP(L318,'Discount Slabs'!$A$5:$B$9,2,TRUE()),0))</f>
        <v/>
      </c>
      <c r="O318" s="12"/>
      <c r="P318" s="10" t="str">
        <f t="shared" si="24"/>
        <v/>
      </c>
      <c r="Q318" s="10" t="str">
        <f t="shared" si="25"/>
        <v/>
      </c>
      <c r="R318" s="13"/>
      <c r="S318" s="10" t="str">
        <f t="shared" si="26"/>
        <v/>
      </c>
      <c r="T318" s="8"/>
      <c r="U318" s="7"/>
      <c r="V318" s="13"/>
      <c r="W318" s="9" t="str">
        <f t="shared" si="27"/>
        <v/>
      </c>
      <c r="X318" s="10" t="str">
        <f t="shared" si="28"/>
        <v/>
      </c>
      <c r="Y318" s="8"/>
      <c r="Z318" s="7"/>
      <c r="AA318" s="7"/>
      <c r="AB318" s="7"/>
      <c r="AC318" t="str">
        <f t="shared" si="29"/>
        <v/>
      </c>
    </row>
    <row r="319" spans="1:29" x14ac:dyDescent="0.3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9" t="str">
        <f>IF(J319="","",IFERROR(INDEX(Products!$B$5:$B$89,MATCH(J319,Products!$A$5:$A$89,0)),"Check ID"))</f>
        <v/>
      </c>
      <c r="L319" s="7"/>
      <c r="M319" s="10" t="str">
        <f>IF(J319="","",IFERROR(INDEX(Products!$E$5:$E$89,MATCH(J319,Products!$A$5:$A$89,0)),0))</f>
        <v/>
      </c>
      <c r="N319" s="11" t="str">
        <f>IF(L319="","",IFERROR(VLOOKUP(L319,'Discount Slabs'!$A$5:$B$9,2,TRUE()),0))</f>
        <v/>
      </c>
      <c r="O319" s="12"/>
      <c r="P319" s="10" t="str">
        <f t="shared" si="24"/>
        <v/>
      </c>
      <c r="Q319" s="10" t="str">
        <f t="shared" si="25"/>
        <v/>
      </c>
      <c r="R319" s="13"/>
      <c r="S319" s="10" t="str">
        <f t="shared" si="26"/>
        <v/>
      </c>
      <c r="T319" s="8"/>
      <c r="U319" s="7"/>
      <c r="V319" s="13"/>
      <c r="W319" s="9" t="str">
        <f t="shared" si="27"/>
        <v/>
      </c>
      <c r="X319" s="10" t="str">
        <f t="shared" si="28"/>
        <v/>
      </c>
      <c r="Y319" s="8"/>
      <c r="Z319" s="7"/>
      <c r="AA319" s="7"/>
      <c r="AB319" s="7"/>
      <c r="AC319" t="str">
        <f t="shared" si="29"/>
        <v/>
      </c>
    </row>
    <row r="320" spans="1:29" x14ac:dyDescent="0.3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9" t="str">
        <f>IF(J320="","",IFERROR(INDEX(Products!$B$5:$B$89,MATCH(J320,Products!$A$5:$A$89,0)),"Check ID"))</f>
        <v/>
      </c>
      <c r="L320" s="7"/>
      <c r="M320" s="10" t="str">
        <f>IF(J320="","",IFERROR(INDEX(Products!$E$5:$E$89,MATCH(J320,Products!$A$5:$A$89,0)),0))</f>
        <v/>
      </c>
      <c r="N320" s="11" t="str">
        <f>IF(L320="","",IFERROR(VLOOKUP(L320,'Discount Slabs'!$A$5:$B$9,2,TRUE()),0))</f>
        <v/>
      </c>
      <c r="O320" s="12"/>
      <c r="P320" s="10" t="str">
        <f t="shared" si="24"/>
        <v/>
      </c>
      <c r="Q320" s="10" t="str">
        <f t="shared" si="25"/>
        <v/>
      </c>
      <c r="R320" s="13"/>
      <c r="S320" s="10" t="str">
        <f t="shared" si="26"/>
        <v/>
      </c>
      <c r="T320" s="8"/>
      <c r="U320" s="7"/>
      <c r="V320" s="13"/>
      <c r="W320" s="9" t="str">
        <f t="shared" si="27"/>
        <v/>
      </c>
      <c r="X320" s="10" t="str">
        <f t="shared" si="28"/>
        <v/>
      </c>
      <c r="Y320" s="8"/>
      <c r="Z320" s="7"/>
      <c r="AA320" s="7"/>
      <c r="AB320" s="7"/>
      <c r="AC320" t="str">
        <f t="shared" si="29"/>
        <v/>
      </c>
    </row>
    <row r="321" spans="1:29" x14ac:dyDescent="0.3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9" t="str">
        <f>IF(J321="","",IFERROR(INDEX(Products!$B$5:$B$89,MATCH(J321,Products!$A$5:$A$89,0)),"Check ID"))</f>
        <v/>
      </c>
      <c r="L321" s="7"/>
      <c r="M321" s="10" t="str">
        <f>IF(J321="","",IFERROR(INDEX(Products!$E$5:$E$89,MATCH(J321,Products!$A$5:$A$89,0)),0))</f>
        <v/>
      </c>
      <c r="N321" s="11" t="str">
        <f>IF(L321="","",IFERROR(VLOOKUP(L321,'Discount Slabs'!$A$5:$B$9,2,TRUE()),0))</f>
        <v/>
      </c>
      <c r="O321" s="12"/>
      <c r="P321" s="10" t="str">
        <f t="shared" si="24"/>
        <v/>
      </c>
      <c r="Q321" s="10" t="str">
        <f t="shared" si="25"/>
        <v/>
      </c>
      <c r="R321" s="13"/>
      <c r="S321" s="10" t="str">
        <f t="shared" si="26"/>
        <v/>
      </c>
      <c r="T321" s="8"/>
      <c r="U321" s="7"/>
      <c r="V321" s="13"/>
      <c r="W321" s="9" t="str">
        <f t="shared" si="27"/>
        <v/>
      </c>
      <c r="X321" s="10" t="str">
        <f t="shared" si="28"/>
        <v/>
      </c>
      <c r="Y321" s="8"/>
      <c r="Z321" s="7"/>
      <c r="AA321" s="7"/>
      <c r="AB321" s="7"/>
      <c r="AC321" t="str">
        <f t="shared" si="29"/>
        <v/>
      </c>
    </row>
    <row r="322" spans="1:29" x14ac:dyDescent="0.3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9" t="str">
        <f>IF(J322="","",IFERROR(INDEX(Products!$B$5:$B$89,MATCH(J322,Products!$A$5:$A$89,0)),"Check ID"))</f>
        <v/>
      </c>
      <c r="L322" s="7"/>
      <c r="M322" s="10" t="str">
        <f>IF(J322="","",IFERROR(INDEX(Products!$E$5:$E$89,MATCH(J322,Products!$A$5:$A$89,0)),0))</f>
        <v/>
      </c>
      <c r="N322" s="11" t="str">
        <f>IF(L322="","",IFERROR(VLOOKUP(L322,'Discount Slabs'!$A$5:$B$9,2,TRUE()),0))</f>
        <v/>
      </c>
      <c r="O322" s="12"/>
      <c r="P322" s="10" t="str">
        <f t="shared" si="24"/>
        <v/>
      </c>
      <c r="Q322" s="10" t="str">
        <f t="shared" si="25"/>
        <v/>
      </c>
      <c r="R322" s="13"/>
      <c r="S322" s="10" t="str">
        <f t="shared" si="26"/>
        <v/>
      </c>
      <c r="T322" s="8"/>
      <c r="U322" s="7"/>
      <c r="V322" s="13"/>
      <c r="W322" s="9" t="str">
        <f t="shared" si="27"/>
        <v/>
      </c>
      <c r="X322" s="10" t="str">
        <f t="shared" si="28"/>
        <v/>
      </c>
      <c r="Y322" s="8"/>
      <c r="Z322" s="7"/>
      <c r="AA322" s="7"/>
      <c r="AB322" s="7"/>
      <c r="AC322" t="str">
        <f t="shared" si="29"/>
        <v/>
      </c>
    </row>
    <row r="323" spans="1:29" x14ac:dyDescent="0.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9" t="str">
        <f>IF(J323="","",IFERROR(INDEX(Products!$B$5:$B$89,MATCH(J323,Products!$A$5:$A$89,0)),"Check ID"))</f>
        <v/>
      </c>
      <c r="L323" s="7"/>
      <c r="M323" s="10" t="str">
        <f>IF(J323="","",IFERROR(INDEX(Products!$E$5:$E$89,MATCH(J323,Products!$A$5:$A$89,0)),0))</f>
        <v/>
      </c>
      <c r="N323" s="11" t="str">
        <f>IF(L323="","",IFERROR(VLOOKUP(L323,'Discount Slabs'!$A$5:$B$9,2,TRUE()),0))</f>
        <v/>
      </c>
      <c r="O323" s="12"/>
      <c r="P323" s="10" t="str">
        <f t="shared" si="24"/>
        <v/>
      </c>
      <c r="Q323" s="10" t="str">
        <f t="shared" si="25"/>
        <v/>
      </c>
      <c r="R323" s="13"/>
      <c r="S323" s="10" t="str">
        <f t="shared" si="26"/>
        <v/>
      </c>
      <c r="T323" s="8"/>
      <c r="U323" s="7"/>
      <c r="V323" s="13"/>
      <c r="W323" s="9" t="str">
        <f t="shared" si="27"/>
        <v/>
      </c>
      <c r="X323" s="10" t="str">
        <f t="shared" si="28"/>
        <v/>
      </c>
      <c r="Y323" s="8"/>
      <c r="Z323" s="7"/>
      <c r="AA323" s="7"/>
      <c r="AB323" s="7"/>
      <c r="AC323" t="str">
        <f t="shared" si="29"/>
        <v/>
      </c>
    </row>
    <row r="324" spans="1:29" x14ac:dyDescent="0.3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9" t="str">
        <f>IF(J324="","",IFERROR(INDEX(Products!$B$5:$B$89,MATCH(J324,Products!$A$5:$A$89,0)),"Check ID"))</f>
        <v/>
      </c>
      <c r="L324" s="7"/>
      <c r="M324" s="10" t="str">
        <f>IF(J324="","",IFERROR(INDEX(Products!$E$5:$E$89,MATCH(J324,Products!$A$5:$A$89,0)),0))</f>
        <v/>
      </c>
      <c r="N324" s="11" t="str">
        <f>IF(L324="","",IFERROR(VLOOKUP(L324,'Discount Slabs'!$A$5:$B$9,2,TRUE()),0))</f>
        <v/>
      </c>
      <c r="O324" s="12"/>
      <c r="P324" s="10" t="str">
        <f t="shared" si="24"/>
        <v/>
      </c>
      <c r="Q324" s="10" t="str">
        <f t="shared" si="25"/>
        <v/>
      </c>
      <c r="R324" s="13"/>
      <c r="S324" s="10" t="str">
        <f t="shared" si="26"/>
        <v/>
      </c>
      <c r="T324" s="8"/>
      <c r="U324" s="7"/>
      <c r="V324" s="13"/>
      <c r="W324" s="9" t="str">
        <f t="shared" si="27"/>
        <v/>
      </c>
      <c r="X324" s="10" t="str">
        <f t="shared" si="28"/>
        <v/>
      </c>
      <c r="Y324" s="8"/>
      <c r="Z324" s="7"/>
      <c r="AA324" s="7"/>
      <c r="AB324" s="7"/>
      <c r="AC324" t="str">
        <f t="shared" si="29"/>
        <v/>
      </c>
    </row>
    <row r="325" spans="1:29" x14ac:dyDescent="0.3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9" t="str">
        <f>IF(J325="","",IFERROR(INDEX(Products!$B$5:$B$89,MATCH(J325,Products!$A$5:$A$89,0)),"Check ID"))</f>
        <v/>
      </c>
      <c r="L325" s="7"/>
      <c r="M325" s="10" t="str">
        <f>IF(J325="","",IFERROR(INDEX(Products!$E$5:$E$89,MATCH(J325,Products!$A$5:$A$89,0)),0))</f>
        <v/>
      </c>
      <c r="N325" s="11" t="str">
        <f>IF(L325="","",IFERROR(VLOOKUP(L325,'Discount Slabs'!$A$5:$B$9,2,TRUE()),0))</f>
        <v/>
      </c>
      <c r="O325" s="12"/>
      <c r="P325" s="10" t="str">
        <f t="shared" ref="P325:P388" si="30">IF(OR(J325="",L325=""),"",ROUND(M325*(1-N325-N(O325)),0))</f>
        <v/>
      </c>
      <c r="Q325" s="10" t="str">
        <f t="shared" ref="Q325:Q388" si="31">IF(P325="","",P325*L325)</f>
        <v/>
      </c>
      <c r="R325" s="13"/>
      <c r="S325" s="10" t="str">
        <f t="shared" ref="S325:S388" si="32">IF(Q325="","",Q325+N(R325))</f>
        <v/>
      </c>
      <c r="T325" s="8"/>
      <c r="U325" s="7"/>
      <c r="V325" s="13"/>
      <c r="W325" s="9" t="str">
        <f t="shared" ref="W325:W388" si="33">IF(OR(U325="Advance received",U325="In production",U325="Dispatched",U325="Delivered"),"Won","")</f>
        <v/>
      </c>
      <c r="X325" s="10" t="str">
        <f t="shared" ref="X325:X388" si="34">IF(S325="","",S325-N(V325))</f>
        <v/>
      </c>
      <c r="Y325" s="8"/>
      <c r="Z325" s="7"/>
      <c r="AA325" s="7"/>
      <c r="AB325" s="7"/>
      <c r="AC325" t="str">
        <f t="shared" ref="AC325:AC388" si="35">IF(P325="","",L325*M325)</f>
        <v/>
      </c>
    </row>
    <row r="326" spans="1:29" x14ac:dyDescent="0.3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9" t="str">
        <f>IF(J326="","",IFERROR(INDEX(Products!$B$5:$B$89,MATCH(J326,Products!$A$5:$A$89,0)),"Check ID"))</f>
        <v/>
      </c>
      <c r="L326" s="7"/>
      <c r="M326" s="10" t="str">
        <f>IF(J326="","",IFERROR(INDEX(Products!$E$5:$E$89,MATCH(J326,Products!$A$5:$A$89,0)),0))</f>
        <v/>
      </c>
      <c r="N326" s="11" t="str">
        <f>IF(L326="","",IFERROR(VLOOKUP(L326,'Discount Slabs'!$A$5:$B$9,2,TRUE()),0))</f>
        <v/>
      </c>
      <c r="O326" s="12"/>
      <c r="P326" s="10" t="str">
        <f t="shared" si="30"/>
        <v/>
      </c>
      <c r="Q326" s="10" t="str">
        <f t="shared" si="31"/>
        <v/>
      </c>
      <c r="R326" s="13"/>
      <c r="S326" s="10" t="str">
        <f t="shared" si="32"/>
        <v/>
      </c>
      <c r="T326" s="8"/>
      <c r="U326" s="7"/>
      <c r="V326" s="13"/>
      <c r="W326" s="9" t="str">
        <f t="shared" si="33"/>
        <v/>
      </c>
      <c r="X326" s="10" t="str">
        <f t="shared" si="34"/>
        <v/>
      </c>
      <c r="Y326" s="8"/>
      <c r="Z326" s="7"/>
      <c r="AA326" s="7"/>
      <c r="AB326" s="7"/>
      <c r="AC326" t="str">
        <f t="shared" si="35"/>
        <v/>
      </c>
    </row>
    <row r="327" spans="1:29" x14ac:dyDescent="0.3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9" t="str">
        <f>IF(J327="","",IFERROR(INDEX(Products!$B$5:$B$89,MATCH(J327,Products!$A$5:$A$89,0)),"Check ID"))</f>
        <v/>
      </c>
      <c r="L327" s="7"/>
      <c r="M327" s="10" t="str">
        <f>IF(J327="","",IFERROR(INDEX(Products!$E$5:$E$89,MATCH(J327,Products!$A$5:$A$89,0)),0))</f>
        <v/>
      </c>
      <c r="N327" s="11" t="str">
        <f>IF(L327="","",IFERROR(VLOOKUP(L327,'Discount Slabs'!$A$5:$B$9,2,TRUE()),0))</f>
        <v/>
      </c>
      <c r="O327" s="12"/>
      <c r="P327" s="10" t="str">
        <f t="shared" si="30"/>
        <v/>
      </c>
      <c r="Q327" s="10" t="str">
        <f t="shared" si="31"/>
        <v/>
      </c>
      <c r="R327" s="13"/>
      <c r="S327" s="10" t="str">
        <f t="shared" si="32"/>
        <v/>
      </c>
      <c r="T327" s="8"/>
      <c r="U327" s="7"/>
      <c r="V327" s="13"/>
      <c r="W327" s="9" t="str">
        <f t="shared" si="33"/>
        <v/>
      </c>
      <c r="X327" s="10" t="str">
        <f t="shared" si="34"/>
        <v/>
      </c>
      <c r="Y327" s="8"/>
      <c r="Z327" s="7"/>
      <c r="AA327" s="7"/>
      <c r="AB327" s="7"/>
      <c r="AC327" t="str">
        <f t="shared" si="35"/>
        <v/>
      </c>
    </row>
    <row r="328" spans="1:29" x14ac:dyDescent="0.3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9" t="str">
        <f>IF(J328="","",IFERROR(INDEX(Products!$B$5:$B$89,MATCH(J328,Products!$A$5:$A$89,0)),"Check ID"))</f>
        <v/>
      </c>
      <c r="L328" s="7"/>
      <c r="M328" s="10" t="str">
        <f>IF(J328="","",IFERROR(INDEX(Products!$E$5:$E$89,MATCH(J328,Products!$A$5:$A$89,0)),0))</f>
        <v/>
      </c>
      <c r="N328" s="11" t="str">
        <f>IF(L328="","",IFERROR(VLOOKUP(L328,'Discount Slabs'!$A$5:$B$9,2,TRUE()),0))</f>
        <v/>
      </c>
      <c r="O328" s="12"/>
      <c r="P328" s="10" t="str">
        <f t="shared" si="30"/>
        <v/>
      </c>
      <c r="Q328" s="10" t="str">
        <f t="shared" si="31"/>
        <v/>
      </c>
      <c r="R328" s="13"/>
      <c r="S328" s="10" t="str">
        <f t="shared" si="32"/>
        <v/>
      </c>
      <c r="T328" s="8"/>
      <c r="U328" s="7"/>
      <c r="V328" s="13"/>
      <c r="W328" s="9" t="str">
        <f t="shared" si="33"/>
        <v/>
      </c>
      <c r="X328" s="10" t="str">
        <f t="shared" si="34"/>
        <v/>
      </c>
      <c r="Y328" s="8"/>
      <c r="Z328" s="7"/>
      <c r="AA328" s="7"/>
      <c r="AB328" s="7"/>
      <c r="AC328" t="str">
        <f t="shared" si="35"/>
        <v/>
      </c>
    </row>
    <row r="329" spans="1:29" x14ac:dyDescent="0.3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9" t="str">
        <f>IF(J329="","",IFERROR(INDEX(Products!$B$5:$B$89,MATCH(J329,Products!$A$5:$A$89,0)),"Check ID"))</f>
        <v/>
      </c>
      <c r="L329" s="7"/>
      <c r="M329" s="10" t="str">
        <f>IF(J329="","",IFERROR(INDEX(Products!$E$5:$E$89,MATCH(J329,Products!$A$5:$A$89,0)),0))</f>
        <v/>
      </c>
      <c r="N329" s="11" t="str">
        <f>IF(L329="","",IFERROR(VLOOKUP(L329,'Discount Slabs'!$A$5:$B$9,2,TRUE()),0))</f>
        <v/>
      </c>
      <c r="O329" s="12"/>
      <c r="P329" s="10" t="str">
        <f t="shared" si="30"/>
        <v/>
      </c>
      <c r="Q329" s="10" t="str">
        <f t="shared" si="31"/>
        <v/>
      </c>
      <c r="R329" s="13"/>
      <c r="S329" s="10" t="str">
        <f t="shared" si="32"/>
        <v/>
      </c>
      <c r="T329" s="8"/>
      <c r="U329" s="7"/>
      <c r="V329" s="13"/>
      <c r="W329" s="9" t="str">
        <f t="shared" si="33"/>
        <v/>
      </c>
      <c r="X329" s="10" t="str">
        <f t="shared" si="34"/>
        <v/>
      </c>
      <c r="Y329" s="8"/>
      <c r="Z329" s="7"/>
      <c r="AA329" s="7"/>
      <c r="AB329" s="7"/>
      <c r="AC329" t="str">
        <f t="shared" si="35"/>
        <v/>
      </c>
    </row>
    <row r="330" spans="1:29" x14ac:dyDescent="0.3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9" t="str">
        <f>IF(J330="","",IFERROR(INDEX(Products!$B$5:$B$89,MATCH(J330,Products!$A$5:$A$89,0)),"Check ID"))</f>
        <v/>
      </c>
      <c r="L330" s="7"/>
      <c r="M330" s="10" t="str">
        <f>IF(J330="","",IFERROR(INDEX(Products!$E$5:$E$89,MATCH(J330,Products!$A$5:$A$89,0)),0))</f>
        <v/>
      </c>
      <c r="N330" s="11" t="str">
        <f>IF(L330="","",IFERROR(VLOOKUP(L330,'Discount Slabs'!$A$5:$B$9,2,TRUE()),0))</f>
        <v/>
      </c>
      <c r="O330" s="12"/>
      <c r="P330" s="10" t="str">
        <f t="shared" si="30"/>
        <v/>
      </c>
      <c r="Q330" s="10" t="str">
        <f t="shared" si="31"/>
        <v/>
      </c>
      <c r="R330" s="13"/>
      <c r="S330" s="10" t="str">
        <f t="shared" si="32"/>
        <v/>
      </c>
      <c r="T330" s="8"/>
      <c r="U330" s="7"/>
      <c r="V330" s="13"/>
      <c r="W330" s="9" t="str">
        <f t="shared" si="33"/>
        <v/>
      </c>
      <c r="X330" s="10" t="str">
        <f t="shared" si="34"/>
        <v/>
      </c>
      <c r="Y330" s="8"/>
      <c r="Z330" s="7"/>
      <c r="AA330" s="7"/>
      <c r="AB330" s="7"/>
      <c r="AC330" t="str">
        <f t="shared" si="35"/>
        <v/>
      </c>
    </row>
    <row r="331" spans="1:29" x14ac:dyDescent="0.3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9" t="str">
        <f>IF(J331="","",IFERROR(INDEX(Products!$B$5:$B$89,MATCH(J331,Products!$A$5:$A$89,0)),"Check ID"))</f>
        <v/>
      </c>
      <c r="L331" s="7"/>
      <c r="M331" s="10" t="str">
        <f>IF(J331="","",IFERROR(INDEX(Products!$E$5:$E$89,MATCH(J331,Products!$A$5:$A$89,0)),0))</f>
        <v/>
      </c>
      <c r="N331" s="11" t="str">
        <f>IF(L331="","",IFERROR(VLOOKUP(L331,'Discount Slabs'!$A$5:$B$9,2,TRUE()),0))</f>
        <v/>
      </c>
      <c r="O331" s="12"/>
      <c r="P331" s="10" t="str">
        <f t="shared" si="30"/>
        <v/>
      </c>
      <c r="Q331" s="10" t="str">
        <f t="shared" si="31"/>
        <v/>
      </c>
      <c r="R331" s="13"/>
      <c r="S331" s="10" t="str">
        <f t="shared" si="32"/>
        <v/>
      </c>
      <c r="T331" s="8"/>
      <c r="U331" s="7"/>
      <c r="V331" s="13"/>
      <c r="W331" s="9" t="str">
        <f t="shared" si="33"/>
        <v/>
      </c>
      <c r="X331" s="10" t="str">
        <f t="shared" si="34"/>
        <v/>
      </c>
      <c r="Y331" s="8"/>
      <c r="Z331" s="7"/>
      <c r="AA331" s="7"/>
      <c r="AB331" s="7"/>
      <c r="AC331" t="str">
        <f t="shared" si="35"/>
        <v/>
      </c>
    </row>
    <row r="332" spans="1:29" x14ac:dyDescent="0.3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9" t="str">
        <f>IF(J332="","",IFERROR(INDEX(Products!$B$5:$B$89,MATCH(J332,Products!$A$5:$A$89,0)),"Check ID"))</f>
        <v/>
      </c>
      <c r="L332" s="7"/>
      <c r="M332" s="10" t="str">
        <f>IF(J332="","",IFERROR(INDEX(Products!$E$5:$E$89,MATCH(J332,Products!$A$5:$A$89,0)),0))</f>
        <v/>
      </c>
      <c r="N332" s="11" t="str">
        <f>IF(L332="","",IFERROR(VLOOKUP(L332,'Discount Slabs'!$A$5:$B$9,2,TRUE()),0))</f>
        <v/>
      </c>
      <c r="O332" s="12"/>
      <c r="P332" s="10" t="str">
        <f t="shared" si="30"/>
        <v/>
      </c>
      <c r="Q332" s="10" t="str">
        <f t="shared" si="31"/>
        <v/>
      </c>
      <c r="R332" s="13"/>
      <c r="S332" s="10" t="str">
        <f t="shared" si="32"/>
        <v/>
      </c>
      <c r="T332" s="8"/>
      <c r="U332" s="7"/>
      <c r="V332" s="13"/>
      <c r="W332" s="9" t="str">
        <f t="shared" si="33"/>
        <v/>
      </c>
      <c r="X332" s="10" t="str">
        <f t="shared" si="34"/>
        <v/>
      </c>
      <c r="Y332" s="8"/>
      <c r="Z332" s="7"/>
      <c r="AA332" s="7"/>
      <c r="AB332" s="7"/>
      <c r="AC332" t="str">
        <f t="shared" si="35"/>
        <v/>
      </c>
    </row>
    <row r="333" spans="1:29" x14ac:dyDescent="0.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9" t="str">
        <f>IF(J333="","",IFERROR(INDEX(Products!$B$5:$B$89,MATCH(J333,Products!$A$5:$A$89,0)),"Check ID"))</f>
        <v/>
      </c>
      <c r="L333" s="7"/>
      <c r="M333" s="10" t="str">
        <f>IF(J333="","",IFERROR(INDEX(Products!$E$5:$E$89,MATCH(J333,Products!$A$5:$A$89,0)),0))</f>
        <v/>
      </c>
      <c r="N333" s="11" t="str">
        <f>IF(L333="","",IFERROR(VLOOKUP(L333,'Discount Slabs'!$A$5:$B$9,2,TRUE()),0))</f>
        <v/>
      </c>
      <c r="O333" s="12"/>
      <c r="P333" s="10" t="str">
        <f t="shared" si="30"/>
        <v/>
      </c>
      <c r="Q333" s="10" t="str">
        <f t="shared" si="31"/>
        <v/>
      </c>
      <c r="R333" s="13"/>
      <c r="S333" s="10" t="str">
        <f t="shared" si="32"/>
        <v/>
      </c>
      <c r="T333" s="8"/>
      <c r="U333" s="7"/>
      <c r="V333" s="13"/>
      <c r="W333" s="9" t="str">
        <f t="shared" si="33"/>
        <v/>
      </c>
      <c r="X333" s="10" t="str">
        <f t="shared" si="34"/>
        <v/>
      </c>
      <c r="Y333" s="8"/>
      <c r="Z333" s="7"/>
      <c r="AA333" s="7"/>
      <c r="AB333" s="7"/>
      <c r="AC333" t="str">
        <f t="shared" si="35"/>
        <v/>
      </c>
    </row>
    <row r="334" spans="1:29" x14ac:dyDescent="0.3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9" t="str">
        <f>IF(J334="","",IFERROR(INDEX(Products!$B$5:$B$89,MATCH(J334,Products!$A$5:$A$89,0)),"Check ID"))</f>
        <v/>
      </c>
      <c r="L334" s="7"/>
      <c r="M334" s="10" t="str">
        <f>IF(J334="","",IFERROR(INDEX(Products!$E$5:$E$89,MATCH(J334,Products!$A$5:$A$89,0)),0))</f>
        <v/>
      </c>
      <c r="N334" s="11" t="str">
        <f>IF(L334="","",IFERROR(VLOOKUP(L334,'Discount Slabs'!$A$5:$B$9,2,TRUE()),0))</f>
        <v/>
      </c>
      <c r="O334" s="12"/>
      <c r="P334" s="10" t="str">
        <f t="shared" si="30"/>
        <v/>
      </c>
      <c r="Q334" s="10" t="str">
        <f t="shared" si="31"/>
        <v/>
      </c>
      <c r="R334" s="13"/>
      <c r="S334" s="10" t="str">
        <f t="shared" si="32"/>
        <v/>
      </c>
      <c r="T334" s="8"/>
      <c r="U334" s="7"/>
      <c r="V334" s="13"/>
      <c r="W334" s="9" t="str">
        <f t="shared" si="33"/>
        <v/>
      </c>
      <c r="X334" s="10" t="str">
        <f t="shared" si="34"/>
        <v/>
      </c>
      <c r="Y334" s="8"/>
      <c r="Z334" s="7"/>
      <c r="AA334" s="7"/>
      <c r="AB334" s="7"/>
      <c r="AC334" t="str">
        <f t="shared" si="35"/>
        <v/>
      </c>
    </row>
    <row r="335" spans="1:29" x14ac:dyDescent="0.3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9" t="str">
        <f>IF(J335="","",IFERROR(INDEX(Products!$B$5:$B$89,MATCH(J335,Products!$A$5:$A$89,0)),"Check ID"))</f>
        <v/>
      </c>
      <c r="L335" s="7"/>
      <c r="M335" s="10" t="str">
        <f>IF(J335="","",IFERROR(INDEX(Products!$E$5:$E$89,MATCH(J335,Products!$A$5:$A$89,0)),0))</f>
        <v/>
      </c>
      <c r="N335" s="11" t="str">
        <f>IF(L335="","",IFERROR(VLOOKUP(L335,'Discount Slabs'!$A$5:$B$9,2,TRUE()),0))</f>
        <v/>
      </c>
      <c r="O335" s="12"/>
      <c r="P335" s="10" t="str">
        <f t="shared" si="30"/>
        <v/>
      </c>
      <c r="Q335" s="10" t="str">
        <f t="shared" si="31"/>
        <v/>
      </c>
      <c r="R335" s="13"/>
      <c r="S335" s="10" t="str">
        <f t="shared" si="32"/>
        <v/>
      </c>
      <c r="T335" s="8"/>
      <c r="U335" s="7"/>
      <c r="V335" s="13"/>
      <c r="W335" s="9" t="str">
        <f t="shared" si="33"/>
        <v/>
      </c>
      <c r="X335" s="10" t="str">
        <f t="shared" si="34"/>
        <v/>
      </c>
      <c r="Y335" s="8"/>
      <c r="Z335" s="7"/>
      <c r="AA335" s="7"/>
      <c r="AB335" s="7"/>
      <c r="AC335" t="str">
        <f t="shared" si="35"/>
        <v/>
      </c>
    </row>
    <row r="336" spans="1:29" x14ac:dyDescent="0.3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9" t="str">
        <f>IF(J336="","",IFERROR(INDEX(Products!$B$5:$B$89,MATCH(J336,Products!$A$5:$A$89,0)),"Check ID"))</f>
        <v/>
      </c>
      <c r="L336" s="7"/>
      <c r="M336" s="10" t="str">
        <f>IF(J336="","",IFERROR(INDEX(Products!$E$5:$E$89,MATCH(J336,Products!$A$5:$A$89,0)),0))</f>
        <v/>
      </c>
      <c r="N336" s="11" t="str">
        <f>IF(L336="","",IFERROR(VLOOKUP(L336,'Discount Slabs'!$A$5:$B$9,2,TRUE()),0))</f>
        <v/>
      </c>
      <c r="O336" s="12"/>
      <c r="P336" s="10" t="str">
        <f t="shared" si="30"/>
        <v/>
      </c>
      <c r="Q336" s="10" t="str">
        <f t="shared" si="31"/>
        <v/>
      </c>
      <c r="R336" s="13"/>
      <c r="S336" s="10" t="str">
        <f t="shared" si="32"/>
        <v/>
      </c>
      <c r="T336" s="8"/>
      <c r="U336" s="7"/>
      <c r="V336" s="13"/>
      <c r="W336" s="9" t="str">
        <f t="shared" si="33"/>
        <v/>
      </c>
      <c r="X336" s="10" t="str">
        <f t="shared" si="34"/>
        <v/>
      </c>
      <c r="Y336" s="8"/>
      <c r="Z336" s="7"/>
      <c r="AA336" s="7"/>
      <c r="AB336" s="7"/>
      <c r="AC336" t="str">
        <f t="shared" si="35"/>
        <v/>
      </c>
    </row>
    <row r="337" spans="1:29" x14ac:dyDescent="0.3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9" t="str">
        <f>IF(J337="","",IFERROR(INDEX(Products!$B$5:$B$89,MATCH(J337,Products!$A$5:$A$89,0)),"Check ID"))</f>
        <v/>
      </c>
      <c r="L337" s="7"/>
      <c r="M337" s="10" t="str">
        <f>IF(J337="","",IFERROR(INDEX(Products!$E$5:$E$89,MATCH(J337,Products!$A$5:$A$89,0)),0))</f>
        <v/>
      </c>
      <c r="N337" s="11" t="str">
        <f>IF(L337="","",IFERROR(VLOOKUP(L337,'Discount Slabs'!$A$5:$B$9,2,TRUE()),0))</f>
        <v/>
      </c>
      <c r="O337" s="12"/>
      <c r="P337" s="10" t="str">
        <f t="shared" si="30"/>
        <v/>
      </c>
      <c r="Q337" s="10" t="str">
        <f t="shared" si="31"/>
        <v/>
      </c>
      <c r="R337" s="13"/>
      <c r="S337" s="10" t="str">
        <f t="shared" si="32"/>
        <v/>
      </c>
      <c r="T337" s="8"/>
      <c r="U337" s="7"/>
      <c r="V337" s="13"/>
      <c r="W337" s="9" t="str">
        <f t="shared" si="33"/>
        <v/>
      </c>
      <c r="X337" s="10" t="str">
        <f t="shared" si="34"/>
        <v/>
      </c>
      <c r="Y337" s="8"/>
      <c r="Z337" s="7"/>
      <c r="AA337" s="7"/>
      <c r="AB337" s="7"/>
      <c r="AC337" t="str">
        <f t="shared" si="35"/>
        <v/>
      </c>
    </row>
    <row r="338" spans="1:29" x14ac:dyDescent="0.3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9" t="str">
        <f>IF(J338="","",IFERROR(INDEX(Products!$B$5:$B$89,MATCH(J338,Products!$A$5:$A$89,0)),"Check ID"))</f>
        <v/>
      </c>
      <c r="L338" s="7"/>
      <c r="M338" s="10" t="str">
        <f>IF(J338="","",IFERROR(INDEX(Products!$E$5:$E$89,MATCH(J338,Products!$A$5:$A$89,0)),0))</f>
        <v/>
      </c>
      <c r="N338" s="11" t="str">
        <f>IF(L338="","",IFERROR(VLOOKUP(L338,'Discount Slabs'!$A$5:$B$9,2,TRUE()),0))</f>
        <v/>
      </c>
      <c r="O338" s="12"/>
      <c r="P338" s="10" t="str">
        <f t="shared" si="30"/>
        <v/>
      </c>
      <c r="Q338" s="10" t="str">
        <f t="shared" si="31"/>
        <v/>
      </c>
      <c r="R338" s="13"/>
      <c r="S338" s="10" t="str">
        <f t="shared" si="32"/>
        <v/>
      </c>
      <c r="T338" s="8"/>
      <c r="U338" s="7"/>
      <c r="V338" s="13"/>
      <c r="W338" s="9" t="str">
        <f t="shared" si="33"/>
        <v/>
      </c>
      <c r="X338" s="10" t="str">
        <f t="shared" si="34"/>
        <v/>
      </c>
      <c r="Y338" s="8"/>
      <c r="Z338" s="7"/>
      <c r="AA338" s="7"/>
      <c r="AB338" s="7"/>
      <c r="AC338" t="str">
        <f t="shared" si="35"/>
        <v/>
      </c>
    </row>
    <row r="339" spans="1:29" x14ac:dyDescent="0.3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9" t="str">
        <f>IF(J339="","",IFERROR(INDEX(Products!$B$5:$B$89,MATCH(J339,Products!$A$5:$A$89,0)),"Check ID"))</f>
        <v/>
      </c>
      <c r="L339" s="7"/>
      <c r="M339" s="10" t="str">
        <f>IF(J339="","",IFERROR(INDEX(Products!$E$5:$E$89,MATCH(J339,Products!$A$5:$A$89,0)),0))</f>
        <v/>
      </c>
      <c r="N339" s="11" t="str">
        <f>IF(L339="","",IFERROR(VLOOKUP(L339,'Discount Slabs'!$A$5:$B$9,2,TRUE()),0))</f>
        <v/>
      </c>
      <c r="O339" s="12"/>
      <c r="P339" s="10" t="str">
        <f t="shared" si="30"/>
        <v/>
      </c>
      <c r="Q339" s="10" t="str">
        <f t="shared" si="31"/>
        <v/>
      </c>
      <c r="R339" s="13"/>
      <c r="S339" s="10" t="str">
        <f t="shared" si="32"/>
        <v/>
      </c>
      <c r="T339" s="8"/>
      <c r="U339" s="7"/>
      <c r="V339" s="13"/>
      <c r="W339" s="9" t="str">
        <f t="shared" si="33"/>
        <v/>
      </c>
      <c r="X339" s="10" t="str">
        <f t="shared" si="34"/>
        <v/>
      </c>
      <c r="Y339" s="8"/>
      <c r="Z339" s="7"/>
      <c r="AA339" s="7"/>
      <c r="AB339" s="7"/>
      <c r="AC339" t="str">
        <f t="shared" si="35"/>
        <v/>
      </c>
    </row>
    <row r="340" spans="1:29" x14ac:dyDescent="0.3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9" t="str">
        <f>IF(J340="","",IFERROR(INDEX(Products!$B$5:$B$89,MATCH(J340,Products!$A$5:$A$89,0)),"Check ID"))</f>
        <v/>
      </c>
      <c r="L340" s="7"/>
      <c r="M340" s="10" t="str">
        <f>IF(J340="","",IFERROR(INDEX(Products!$E$5:$E$89,MATCH(J340,Products!$A$5:$A$89,0)),0))</f>
        <v/>
      </c>
      <c r="N340" s="11" t="str">
        <f>IF(L340="","",IFERROR(VLOOKUP(L340,'Discount Slabs'!$A$5:$B$9,2,TRUE()),0))</f>
        <v/>
      </c>
      <c r="O340" s="12"/>
      <c r="P340" s="10" t="str">
        <f t="shared" si="30"/>
        <v/>
      </c>
      <c r="Q340" s="10" t="str">
        <f t="shared" si="31"/>
        <v/>
      </c>
      <c r="R340" s="13"/>
      <c r="S340" s="10" t="str">
        <f t="shared" si="32"/>
        <v/>
      </c>
      <c r="T340" s="8"/>
      <c r="U340" s="7"/>
      <c r="V340" s="13"/>
      <c r="W340" s="9" t="str">
        <f t="shared" si="33"/>
        <v/>
      </c>
      <c r="X340" s="10" t="str">
        <f t="shared" si="34"/>
        <v/>
      </c>
      <c r="Y340" s="8"/>
      <c r="Z340" s="7"/>
      <c r="AA340" s="7"/>
      <c r="AB340" s="7"/>
      <c r="AC340" t="str">
        <f t="shared" si="35"/>
        <v/>
      </c>
    </row>
    <row r="341" spans="1:29" x14ac:dyDescent="0.3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9" t="str">
        <f>IF(J341="","",IFERROR(INDEX(Products!$B$5:$B$89,MATCH(J341,Products!$A$5:$A$89,0)),"Check ID"))</f>
        <v/>
      </c>
      <c r="L341" s="7"/>
      <c r="M341" s="10" t="str">
        <f>IF(J341="","",IFERROR(INDEX(Products!$E$5:$E$89,MATCH(J341,Products!$A$5:$A$89,0)),0))</f>
        <v/>
      </c>
      <c r="N341" s="11" t="str">
        <f>IF(L341="","",IFERROR(VLOOKUP(L341,'Discount Slabs'!$A$5:$B$9,2,TRUE()),0))</f>
        <v/>
      </c>
      <c r="O341" s="12"/>
      <c r="P341" s="10" t="str">
        <f t="shared" si="30"/>
        <v/>
      </c>
      <c r="Q341" s="10" t="str">
        <f t="shared" si="31"/>
        <v/>
      </c>
      <c r="R341" s="13"/>
      <c r="S341" s="10" t="str">
        <f t="shared" si="32"/>
        <v/>
      </c>
      <c r="T341" s="8"/>
      <c r="U341" s="7"/>
      <c r="V341" s="13"/>
      <c r="W341" s="9" t="str">
        <f t="shared" si="33"/>
        <v/>
      </c>
      <c r="X341" s="10" t="str">
        <f t="shared" si="34"/>
        <v/>
      </c>
      <c r="Y341" s="8"/>
      <c r="Z341" s="7"/>
      <c r="AA341" s="7"/>
      <c r="AB341" s="7"/>
      <c r="AC341" t="str">
        <f t="shared" si="35"/>
        <v/>
      </c>
    </row>
    <row r="342" spans="1:29" x14ac:dyDescent="0.3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9" t="str">
        <f>IF(J342="","",IFERROR(INDEX(Products!$B$5:$B$89,MATCH(J342,Products!$A$5:$A$89,0)),"Check ID"))</f>
        <v/>
      </c>
      <c r="L342" s="7"/>
      <c r="M342" s="10" t="str">
        <f>IF(J342="","",IFERROR(INDEX(Products!$E$5:$E$89,MATCH(J342,Products!$A$5:$A$89,0)),0))</f>
        <v/>
      </c>
      <c r="N342" s="11" t="str">
        <f>IF(L342="","",IFERROR(VLOOKUP(L342,'Discount Slabs'!$A$5:$B$9,2,TRUE()),0))</f>
        <v/>
      </c>
      <c r="O342" s="12"/>
      <c r="P342" s="10" t="str">
        <f t="shared" si="30"/>
        <v/>
      </c>
      <c r="Q342" s="10" t="str">
        <f t="shared" si="31"/>
        <v/>
      </c>
      <c r="R342" s="13"/>
      <c r="S342" s="10" t="str">
        <f t="shared" si="32"/>
        <v/>
      </c>
      <c r="T342" s="8"/>
      <c r="U342" s="7"/>
      <c r="V342" s="13"/>
      <c r="W342" s="9" t="str">
        <f t="shared" si="33"/>
        <v/>
      </c>
      <c r="X342" s="10" t="str">
        <f t="shared" si="34"/>
        <v/>
      </c>
      <c r="Y342" s="8"/>
      <c r="Z342" s="7"/>
      <c r="AA342" s="7"/>
      <c r="AB342" s="7"/>
      <c r="AC342" t="str">
        <f t="shared" si="35"/>
        <v/>
      </c>
    </row>
    <row r="343" spans="1:29" x14ac:dyDescent="0.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9" t="str">
        <f>IF(J343="","",IFERROR(INDEX(Products!$B$5:$B$89,MATCH(J343,Products!$A$5:$A$89,0)),"Check ID"))</f>
        <v/>
      </c>
      <c r="L343" s="7"/>
      <c r="M343" s="10" t="str">
        <f>IF(J343="","",IFERROR(INDEX(Products!$E$5:$E$89,MATCH(J343,Products!$A$5:$A$89,0)),0))</f>
        <v/>
      </c>
      <c r="N343" s="11" t="str">
        <f>IF(L343="","",IFERROR(VLOOKUP(L343,'Discount Slabs'!$A$5:$B$9,2,TRUE()),0))</f>
        <v/>
      </c>
      <c r="O343" s="12"/>
      <c r="P343" s="10" t="str">
        <f t="shared" si="30"/>
        <v/>
      </c>
      <c r="Q343" s="10" t="str">
        <f t="shared" si="31"/>
        <v/>
      </c>
      <c r="R343" s="13"/>
      <c r="S343" s="10" t="str">
        <f t="shared" si="32"/>
        <v/>
      </c>
      <c r="T343" s="8"/>
      <c r="U343" s="7"/>
      <c r="V343" s="13"/>
      <c r="W343" s="9" t="str">
        <f t="shared" si="33"/>
        <v/>
      </c>
      <c r="X343" s="10" t="str">
        <f t="shared" si="34"/>
        <v/>
      </c>
      <c r="Y343" s="8"/>
      <c r="Z343" s="7"/>
      <c r="AA343" s="7"/>
      <c r="AB343" s="7"/>
      <c r="AC343" t="str">
        <f t="shared" si="35"/>
        <v/>
      </c>
    </row>
    <row r="344" spans="1:29" x14ac:dyDescent="0.3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9" t="str">
        <f>IF(J344="","",IFERROR(INDEX(Products!$B$5:$B$89,MATCH(J344,Products!$A$5:$A$89,0)),"Check ID"))</f>
        <v/>
      </c>
      <c r="L344" s="7"/>
      <c r="M344" s="10" t="str">
        <f>IF(J344="","",IFERROR(INDEX(Products!$E$5:$E$89,MATCH(J344,Products!$A$5:$A$89,0)),0))</f>
        <v/>
      </c>
      <c r="N344" s="11" t="str">
        <f>IF(L344="","",IFERROR(VLOOKUP(L344,'Discount Slabs'!$A$5:$B$9,2,TRUE()),0))</f>
        <v/>
      </c>
      <c r="O344" s="12"/>
      <c r="P344" s="10" t="str">
        <f t="shared" si="30"/>
        <v/>
      </c>
      <c r="Q344" s="10" t="str">
        <f t="shared" si="31"/>
        <v/>
      </c>
      <c r="R344" s="13"/>
      <c r="S344" s="10" t="str">
        <f t="shared" si="32"/>
        <v/>
      </c>
      <c r="T344" s="8"/>
      <c r="U344" s="7"/>
      <c r="V344" s="13"/>
      <c r="W344" s="9" t="str">
        <f t="shared" si="33"/>
        <v/>
      </c>
      <c r="X344" s="10" t="str">
        <f t="shared" si="34"/>
        <v/>
      </c>
      <c r="Y344" s="8"/>
      <c r="Z344" s="7"/>
      <c r="AA344" s="7"/>
      <c r="AB344" s="7"/>
      <c r="AC344" t="str">
        <f t="shared" si="35"/>
        <v/>
      </c>
    </row>
    <row r="345" spans="1:29" x14ac:dyDescent="0.3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9" t="str">
        <f>IF(J345="","",IFERROR(INDEX(Products!$B$5:$B$89,MATCH(J345,Products!$A$5:$A$89,0)),"Check ID"))</f>
        <v/>
      </c>
      <c r="L345" s="7"/>
      <c r="M345" s="10" t="str">
        <f>IF(J345="","",IFERROR(INDEX(Products!$E$5:$E$89,MATCH(J345,Products!$A$5:$A$89,0)),0))</f>
        <v/>
      </c>
      <c r="N345" s="11" t="str">
        <f>IF(L345="","",IFERROR(VLOOKUP(L345,'Discount Slabs'!$A$5:$B$9,2,TRUE()),0))</f>
        <v/>
      </c>
      <c r="O345" s="12"/>
      <c r="P345" s="10" t="str">
        <f t="shared" si="30"/>
        <v/>
      </c>
      <c r="Q345" s="10" t="str">
        <f t="shared" si="31"/>
        <v/>
      </c>
      <c r="R345" s="13"/>
      <c r="S345" s="10" t="str">
        <f t="shared" si="32"/>
        <v/>
      </c>
      <c r="T345" s="8"/>
      <c r="U345" s="7"/>
      <c r="V345" s="13"/>
      <c r="W345" s="9" t="str">
        <f t="shared" si="33"/>
        <v/>
      </c>
      <c r="X345" s="10" t="str">
        <f t="shared" si="34"/>
        <v/>
      </c>
      <c r="Y345" s="8"/>
      <c r="Z345" s="7"/>
      <c r="AA345" s="7"/>
      <c r="AB345" s="7"/>
      <c r="AC345" t="str">
        <f t="shared" si="35"/>
        <v/>
      </c>
    </row>
    <row r="346" spans="1:29" x14ac:dyDescent="0.3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9" t="str">
        <f>IF(J346="","",IFERROR(INDEX(Products!$B$5:$B$89,MATCH(J346,Products!$A$5:$A$89,0)),"Check ID"))</f>
        <v/>
      </c>
      <c r="L346" s="7"/>
      <c r="M346" s="10" t="str">
        <f>IF(J346="","",IFERROR(INDEX(Products!$E$5:$E$89,MATCH(J346,Products!$A$5:$A$89,0)),0))</f>
        <v/>
      </c>
      <c r="N346" s="11" t="str">
        <f>IF(L346="","",IFERROR(VLOOKUP(L346,'Discount Slabs'!$A$5:$B$9,2,TRUE()),0))</f>
        <v/>
      </c>
      <c r="O346" s="12"/>
      <c r="P346" s="10" t="str">
        <f t="shared" si="30"/>
        <v/>
      </c>
      <c r="Q346" s="10" t="str">
        <f t="shared" si="31"/>
        <v/>
      </c>
      <c r="R346" s="13"/>
      <c r="S346" s="10" t="str">
        <f t="shared" si="32"/>
        <v/>
      </c>
      <c r="T346" s="8"/>
      <c r="U346" s="7"/>
      <c r="V346" s="13"/>
      <c r="W346" s="9" t="str">
        <f t="shared" si="33"/>
        <v/>
      </c>
      <c r="X346" s="10" t="str">
        <f t="shared" si="34"/>
        <v/>
      </c>
      <c r="Y346" s="8"/>
      <c r="Z346" s="7"/>
      <c r="AA346" s="7"/>
      <c r="AB346" s="7"/>
      <c r="AC346" t="str">
        <f t="shared" si="35"/>
        <v/>
      </c>
    </row>
    <row r="347" spans="1:29" x14ac:dyDescent="0.3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9" t="str">
        <f>IF(J347="","",IFERROR(INDEX(Products!$B$5:$B$89,MATCH(J347,Products!$A$5:$A$89,0)),"Check ID"))</f>
        <v/>
      </c>
      <c r="L347" s="7"/>
      <c r="M347" s="10" t="str">
        <f>IF(J347="","",IFERROR(INDEX(Products!$E$5:$E$89,MATCH(J347,Products!$A$5:$A$89,0)),0))</f>
        <v/>
      </c>
      <c r="N347" s="11" t="str">
        <f>IF(L347="","",IFERROR(VLOOKUP(L347,'Discount Slabs'!$A$5:$B$9,2,TRUE()),0))</f>
        <v/>
      </c>
      <c r="O347" s="12"/>
      <c r="P347" s="10" t="str">
        <f t="shared" si="30"/>
        <v/>
      </c>
      <c r="Q347" s="10" t="str">
        <f t="shared" si="31"/>
        <v/>
      </c>
      <c r="R347" s="13"/>
      <c r="S347" s="10" t="str">
        <f t="shared" si="32"/>
        <v/>
      </c>
      <c r="T347" s="8"/>
      <c r="U347" s="7"/>
      <c r="V347" s="13"/>
      <c r="W347" s="9" t="str">
        <f t="shared" si="33"/>
        <v/>
      </c>
      <c r="X347" s="10" t="str">
        <f t="shared" si="34"/>
        <v/>
      </c>
      <c r="Y347" s="8"/>
      <c r="Z347" s="7"/>
      <c r="AA347" s="7"/>
      <c r="AB347" s="7"/>
      <c r="AC347" t="str">
        <f t="shared" si="35"/>
        <v/>
      </c>
    </row>
    <row r="348" spans="1:29" x14ac:dyDescent="0.3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9" t="str">
        <f>IF(J348="","",IFERROR(INDEX(Products!$B$5:$B$89,MATCH(J348,Products!$A$5:$A$89,0)),"Check ID"))</f>
        <v/>
      </c>
      <c r="L348" s="7"/>
      <c r="M348" s="10" t="str">
        <f>IF(J348="","",IFERROR(INDEX(Products!$E$5:$E$89,MATCH(J348,Products!$A$5:$A$89,0)),0))</f>
        <v/>
      </c>
      <c r="N348" s="11" t="str">
        <f>IF(L348="","",IFERROR(VLOOKUP(L348,'Discount Slabs'!$A$5:$B$9,2,TRUE()),0))</f>
        <v/>
      </c>
      <c r="O348" s="12"/>
      <c r="P348" s="10" t="str">
        <f t="shared" si="30"/>
        <v/>
      </c>
      <c r="Q348" s="10" t="str">
        <f t="shared" si="31"/>
        <v/>
      </c>
      <c r="R348" s="13"/>
      <c r="S348" s="10" t="str">
        <f t="shared" si="32"/>
        <v/>
      </c>
      <c r="T348" s="8"/>
      <c r="U348" s="7"/>
      <c r="V348" s="13"/>
      <c r="W348" s="9" t="str">
        <f t="shared" si="33"/>
        <v/>
      </c>
      <c r="X348" s="10" t="str">
        <f t="shared" si="34"/>
        <v/>
      </c>
      <c r="Y348" s="8"/>
      <c r="Z348" s="7"/>
      <c r="AA348" s="7"/>
      <c r="AB348" s="7"/>
      <c r="AC348" t="str">
        <f t="shared" si="35"/>
        <v/>
      </c>
    </row>
    <row r="349" spans="1:29" x14ac:dyDescent="0.3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9" t="str">
        <f>IF(J349="","",IFERROR(INDEX(Products!$B$5:$B$89,MATCH(J349,Products!$A$5:$A$89,0)),"Check ID"))</f>
        <v/>
      </c>
      <c r="L349" s="7"/>
      <c r="M349" s="10" t="str">
        <f>IF(J349="","",IFERROR(INDEX(Products!$E$5:$E$89,MATCH(J349,Products!$A$5:$A$89,0)),0))</f>
        <v/>
      </c>
      <c r="N349" s="11" t="str">
        <f>IF(L349="","",IFERROR(VLOOKUP(L349,'Discount Slabs'!$A$5:$B$9,2,TRUE()),0))</f>
        <v/>
      </c>
      <c r="O349" s="12"/>
      <c r="P349" s="10" t="str">
        <f t="shared" si="30"/>
        <v/>
      </c>
      <c r="Q349" s="10" t="str">
        <f t="shared" si="31"/>
        <v/>
      </c>
      <c r="R349" s="13"/>
      <c r="S349" s="10" t="str">
        <f t="shared" si="32"/>
        <v/>
      </c>
      <c r="T349" s="8"/>
      <c r="U349" s="7"/>
      <c r="V349" s="13"/>
      <c r="W349" s="9" t="str">
        <f t="shared" si="33"/>
        <v/>
      </c>
      <c r="X349" s="10" t="str">
        <f t="shared" si="34"/>
        <v/>
      </c>
      <c r="Y349" s="8"/>
      <c r="Z349" s="7"/>
      <c r="AA349" s="7"/>
      <c r="AB349" s="7"/>
      <c r="AC349" t="str">
        <f t="shared" si="35"/>
        <v/>
      </c>
    </row>
    <row r="350" spans="1:29" x14ac:dyDescent="0.3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9" t="str">
        <f>IF(J350="","",IFERROR(INDEX(Products!$B$5:$B$89,MATCH(J350,Products!$A$5:$A$89,0)),"Check ID"))</f>
        <v/>
      </c>
      <c r="L350" s="7"/>
      <c r="M350" s="10" t="str">
        <f>IF(J350="","",IFERROR(INDEX(Products!$E$5:$E$89,MATCH(J350,Products!$A$5:$A$89,0)),0))</f>
        <v/>
      </c>
      <c r="N350" s="11" t="str">
        <f>IF(L350="","",IFERROR(VLOOKUP(L350,'Discount Slabs'!$A$5:$B$9,2,TRUE()),0))</f>
        <v/>
      </c>
      <c r="O350" s="12"/>
      <c r="P350" s="10" t="str">
        <f t="shared" si="30"/>
        <v/>
      </c>
      <c r="Q350" s="10" t="str">
        <f t="shared" si="31"/>
        <v/>
      </c>
      <c r="R350" s="13"/>
      <c r="S350" s="10" t="str">
        <f t="shared" si="32"/>
        <v/>
      </c>
      <c r="T350" s="8"/>
      <c r="U350" s="7"/>
      <c r="V350" s="13"/>
      <c r="W350" s="9" t="str">
        <f t="shared" si="33"/>
        <v/>
      </c>
      <c r="X350" s="10" t="str">
        <f t="shared" si="34"/>
        <v/>
      </c>
      <c r="Y350" s="8"/>
      <c r="Z350" s="7"/>
      <c r="AA350" s="7"/>
      <c r="AB350" s="7"/>
      <c r="AC350" t="str">
        <f t="shared" si="35"/>
        <v/>
      </c>
    </row>
    <row r="351" spans="1:29" x14ac:dyDescent="0.3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9" t="str">
        <f>IF(J351="","",IFERROR(INDEX(Products!$B$5:$B$89,MATCH(J351,Products!$A$5:$A$89,0)),"Check ID"))</f>
        <v/>
      </c>
      <c r="L351" s="7"/>
      <c r="M351" s="10" t="str">
        <f>IF(J351="","",IFERROR(INDEX(Products!$E$5:$E$89,MATCH(J351,Products!$A$5:$A$89,0)),0))</f>
        <v/>
      </c>
      <c r="N351" s="11" t="str">
        <f>IF(L351="","",IFERROR(VLOOKUP(L351,'Discount Slabs'!$A$5:$B$9,2,TRUE()),0))</f>
        <v/>
      </c>
      <c r="O351" s="12"/>
      <c r="P351" s="10" t="str">
        <f t="shared" si="30"/>
        <v/>
      </c>
      <c r="Q351" s="10" t="str">
        <f t="shared" si="31"/>
        <v/>
      </c>
      <c r="R351" s="13"/>
      <c r="S351" s="10" t="str">
        <f t="shared" si="32"/>
        <v/>
      </c>
      <c r="T351" s="8"/>
      <c r="U351" s="7"/>
      <c r="V351" s="13"/>
      <c r="W351" s="9" t="str">
        <f t="shared" si="33"/>
        <v/>
      </c>
      <c r="X351" s="10" t="str">
        <f t="shared" si="34"/>
        <v/>
      </c>
      <c r="Y351" s="8"/>
      <c r="Z351" s="7"/>
      <c r="AA351" s="7"/>
      <c r="AB351" s="7"/>
      <c r="AC351" t="str">
        <f t="shared" si="35"/>
        <v/>
      </c>
    </row>
    <row r="352" spans="1:29" x14ac:dyDescent="0.3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9" t="str">
        <f>IF(J352="","",IFERROR(INDEX(Products!$B$5:$B$89,MATCH(J352,Products!$A$5:$A$89,0)),"Check ID"))</f>
        <v/>
      </c>
      <c r="L352" s="7"/>
      <c r="M352" s="10" t="str">
        <f>IF(J352="","",IFERROR(INDEX(Products!$E$5:$E$89,MATCH(J352,Products!$A$5:$A$89,0)),0))</f>
        <v/>
      </c>
      <c r="N352" s="11" t="str">
        <f>IF(L352="","",IFERROR(VLOOKUP(L352,'Discount Slabs'!$A$5:$B$9,2,TRUE()),0))</f>
        <v/>
      </c>
      <c r="O352" s="12"/>
      <c r="P352" s="10" t="str">
        <f t="shared" si="30"/>
        <v/>
      </c>
      <c r="Q352" s="10" t="str">
        <f t="shared" si="31"/>
        <v/>
      </c>
      <c r="R352" s="13"/>
      <c r="S352" s="10" t="str">
        <f t="shared" si="32"/>
        <v/>
      </c>
      <c r="T352" s="8"/>
      <c r="U352" s="7"/>
      <c r="V352" s="13"/>
      <c r="W352" s="9" t="str">
        <f t="shared" si="33"/>
        <v/>
      </c>
      <c r="X352" s="10" t="str">
        <f t="shared" si="34"/>
        <v/>
      </c>
      <c r="Y352" s="8"/>
      <c r="Z352" s="7"/>
      <c r="AA352" s="7"/>
      <c r="AB352" s="7"/>
      <c r="AC352" t="str">
        <f t="shared" si="35"/>
        <v/>
      </c>
    </row>
    <row r="353" spans="1:29" x14ac:dyDescent="0.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9" t="str">
        <f>IF(J353="","",IFERROR(INDEX(Products!$B$5:$B$89,MATCH(J353,Products!$A$5:$A$89,0)),"Check ID"))</f>
        <v/>
      </c>
      <c r="L353" s="7"/>
      <c r="M353" s="10" t="str">
        <f>IF(J353="","",IFERROR(INDEX(Products!$E$5:$E$89,MATCH(J353,Products!$A$5:$A$89,0)),0))</f>
        <v/>
      </c>
      <c r="N353" s="11" t="str">
        <f>IF(L353="","",IFERROR(VLOOKUP(L353,'Discount Slabs'!$A$5:$B$9,2,TRUE()),0))</f>
        <v/>
      </c>
      <c r="O353" s="12"/>
      <c r="P353" s="10" t="str">
        <f t="shared" si="30"/>
        <v/>
      </c>
      <c r="Q353" s="10" t="str">
        <f t="shared" si="31"/>
        <v/>
      </c>
      <c r="R353" s="13"/>
      <c r="S353" s="10" t="str">
        <f t="shared" si="32"/>
        <v/>
      </c>
      <c r="T353" s="8"/>
      <c r="U353" s="7"/>
      <c r="V353" s="13"/>
      <c r="W353" s="9" t="str">
        <f t="shared" si="33"/>
        <v/>
      </c>
      <c r="X353" s="10" t="str">
        <f t="shared" si="34"/>
        <v/>
      </c>
      <c r="Y353" s="8"/>
      <c r="Z353" s="7"/>
      <c r="AA353" s="7"/>
      <c r="AB353" s="7"/>
      <c r="AC353" t="str">
        <f t="shared" si="35"/>
        <v/>
      </c>
    </row>
    <row r="354" spans="1:29" x14ac:dyDescent="0.3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9" t="str">
        <f>IF(J354="","",IFERROR(INDEX(Products!$B$5:$B$89,MATCH(J354,Products!$A$5:$A$89,0)),"Check ID"))</f>
        <v/>
      </c>
      <c r="L354" s="7"/>
      <c r="M354" s="10" t="str">
        <f>IF(J354="","",IFERROR(INDEX(Products!$E$5:$E$89,MATCH(J354,Products!$A$5:$A$89,0)),0))</f>
        <v/>
      </c>
      <c r="N354" s="11" t="str">
        <f>IF(L354="","",IFERROR(VLOOKUP(L354,'Discount Slabs'!$A$5:$B$9,2,TRUE()),0))</f>
        <v/>
      </c>
      <c r="O354" s="12"/>
      <c r="P354" s="10" t="str">
        <f t="shared" si="30"/>
        <v/>
      </c>
      <c r="Q354" s="10" t="str">
        <f t="shared" si="31"/>
        <v/>
      </c>
      <c r="R354" s="13"/>
      <c r="S354" s="10" t="str">
        <f t="shared" si="32"/>
        <v/>
      </c>
      <c r="T354" s="8"/>
      <c r="U354" s="7"/>
      <c r="V354" s="13"/>
      <c r="W354" s="9" t="str">
        <f t="shared" si="33"/>
        <v/>
      </c>
      <c r="X354" s="10" t="str">
        <f t="shared" si="34"/>
        <v/>
      </c>
      <c r="Y354" s="8"/>
      <c r="Z354" s="7"/>
      <c r="AA354" s="7"/>
      <c r="AB354" s="7"/>
      <c r="AC354" t="str">
        <f t="shared" si="35"/>
        <v/>
      </c>
    </row>
    <row r="355" spans="1:29" x14ac:dyDescent="0.3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9" t="str">
        <f>IF(J355="","",IFERROR(INDEX(Products!$B$5:$B$89,MATCH(J355,Products!$A$5:$A$89,0)),"Check ID"))</f>
        <v/>
      </c>
      <c r="L355" s="7"/>
      <c r="M355" s="10" t="str">
        <f>IF(J355="","",IFERROR(INDEX(Products!$E$5:$E$89,MATCH(J355,Products!$A$5:$A$89,0)),0))</f>
        <v/>
      </c>
      <c r="N355" s="11" t="str">
        <f>IF(L355="","",IFERROR(VLOOKUP(L355,'Discount Slabs'!$A$5:$B$9,2,TRUE()),0))</f>
        <v/>
      </c>
      <c r="O355" s="12"/>
      <c r="P355" s="10" t="str">
        <f t="shared" si="30"/>
        <v/>
      </c>
      <c r="Q355" s="10" t="str">
        <f t="shared" si="31"/>
        <v/>
      </c>
      <c r="R355" s="13"/>
      <c r="S355" s="10" t="str">
        <f t="shared" si="32"/>
        <v/>
      </c>
      <c r="T355" s="8"/>
      <c r="U355" s="7"/>
      <c r="V355" s="13"/>
      <c r="W355" s="9" t="str">
        <f t="shared" si="33"/>
        <v/>
      </c>
      <c r="X355" s="10" t="str">
        <f t="shared" si="34"/>
        <v/>
      </c>
      <c r="Y355" s="8"/>
      <c r="Z355" s="7"/>
      <c r="AA355" s="7"/>
      <c r="AB355" s="7"/>
      <c r="AC355" t="str">
        <f t="shared" si="35"/>
        <v/>
      </c>
    </row>
    <row r="356" spans="1:29" x14ac:dyDescent="0.3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9" t="str">
        <f>IF(J356="","",IFERROR(INDEX(Products!$B$5:$B$89,MATCH(J356,Products!$A$5:$A$89,0)),"Check ID"))</f>
        <v/>
      </c>
      <c r="L356" s="7"/>
      <c r="M356" s="10" t="str">
        <f>IF(J356="","",IFERROR(INDEX(Products!$E$5:$E$89,MATCH(J356,Products!$A$5:$A$89,0)),0))</f>
        <v/>
      </c>
      <c r="N356" s="11" t="str">
        <f>IF(L356="","",IFERROR(VLOOKUP(L356,'Discount Slabs'!$A$5:$B$9,2,TRUE()),0))</f>
        <v/>
      </c>
      <c r="O356" s="12"/>
      <c r="P356" s="10" t="str">
        <f t="shared" si="30"/>
        <v/>
      </c>
      <c r="Q356" s="10" t="str">
        <f t="shared" si="31"/>
        <v/>
      </c>
      <c r="R356" s="13"/>
      <c r="S356" s="10" t="str">
        <f t="shared" si="32"/>
        <v/>
      </c>
      <c r="T356" s="8"/>
      <c r="U356" s="7"/>
      <c r="V356" s="13"/>
      <c r="W356" s="9" t="str">
        <f t="shared" si="33"/>
        <v/>
      </c>
      <c r="X356" s="10" t="str">
        <f t="shared" si="34"/>
        <v/>
      </c>
      <c r="Y356" s="8"/>
      <c r="Z356" s="7"/>
      <c r="AA356" s="7"/>
      <c r="AB356" s="7"/>
      <c r="AC356" t="str">
        <f t="shared" si="35"/>
        <v/>
      </c>
    </row>
    <row r="357" spans="1:29" x14ac:dyDescent="0.3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9" t="str">
        <f>IF(J357="","",IFERROR(INDEX(Products!$B$5:$B$89,MATCH(J357,Products!$A$5:$A$89,0)),"Check ID"))</f>
        <v/>
      </c>
      <c r="L357" s="7"/>
      <c r="M357" s="10" t="str">
        <f>IF(J357="","",IFERROR(INDEX(Products!$E$5:$E$89,MATCH(J357,Products!$A$5:$A$89,0)),0))</f>
        <v/>
      </c>
      <c r="N357" s="11" t="str">
        <f>IF(L357="","",IFERROR(VLOOKUP(L357,'Discount Slabs'!$A$5:$B$9,2,TRUE()),0))</f>
        <v/>
      </c>
      <c r="O357" s="12"/>
      <c r="P357" s="10" t="str">
        <f t="shared" si="30"/>
        <v/>
      </c>
      <c r="Q357" s="10" t="str">
        <f t="shared" si="31"/>
        <v/>
      </c>
      <c r="R357" s="13"/>
      <c r="S357" s="10" t="str">
        <f t="shared" si="32"/>
        <v/>
      </c>
      <c r="T357" s="8"/>
      <c r="U357" s="7"/>
      <c r="V357" s="13"/>
      <c r="W357" s="9" t="str">
        <f t="shared" si="33"/>
        <v/>
      </c>
      <c r="X357" s="10" t="str">
        <f t="shared" si="34"/>
        <v/>
      </c>
      <c r="Y357" s="8"/>
      <c r="Z357" s="7"/>
      <c r="AA357" s="7"/>
      <c r="AB357" s="7"/>
      <c r="AC357" t="str">
        <f t="shared" si="35"/>
        <v/>
      </c>
    </row>
    <row r="358" spans="1:29" x14ac:dyDescent="0.3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9" t="str">
        <f>IF(J358="","",IFERROR(INDEX(Products!$B$5:$B$89,MATCH(J358,Products!$A$5:$A$89,0)),"Check ID"))</f>
        <v/>
      </c>
      <c r="L358" s="7"/>
      <c r="M358" s="10" t="str">
        <f>IF(J358="","",IFERROR(INDEX(Products!$E$5:$E$89,MATCH(J358,Products!$A$5:$A$89,0)),0))</f>
        <v/>
      </c>
      <c r="N358" s="11" t="str">
        <f>IF(L358="","",IFERROR(VLOOKUP(L358,'Discount Slabs'!$A$5:$B$9,2,TRUE()),0))</f>
        <v/>
      </c>
      <c r="O358" s="12"/>
      <c r="P358" s="10" t="str">
        <f t="shared" si="30"/>
        <v/>
      </c>
      <c r="Q358" s="10" t="str">
        <f t="shared" si="31"/>
        <v/>
      </c>
      <c r="R358" s="13"/>
      <c r="S358" s="10" t="str">
        <f t="shared" si="32"/>
        <v/>
      </c>
      <c r="T358" s="8"/>
      <c r="U358" s="7"/>
      <c r="V358" s="13"/>
      <c r="W358" s="9" t="str">
        <f t="shared" si="33"/>
        <v/>
      </c>
      <c r="X358" s="10" t="str">
        <f t="shared" si="34"/>
        <v/>
      </c>
      <c r="Y358" s="8"/>
      <c r="Z358" s="7"/>
      <c r="AA358" s="7"/>
      <c r="AB358" s="7"/>
      <c r="AC358" t="str">
        <f t="shared" si="35"/>
        <v/>
      </c>
    </row>
    <row r="359" spans="1:29" x14ac:dyDescent="0.3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9" t="str">
        <f>IF(J359="","",IFERROR(INDEX(Products!$B$5:$B$89,MATCH(J359,Products!$A$5:$A$89,0)),"Check ID"))</f>
        <v/>
      </c>
      <c r="L359" s="7"/>
      <c r="M359" s="10" t="str">
        <f>IF(J359="","",IFERROR(INDEX(Products!$E$5:$E$89,MATCH(J359,Products!$A$5:$A$89,0)),0))</f>
        <v/>
      </c>
      <c r="N359" s="11" t="str">
        <f>IF(L359="","",IFERROR(VLOOKUP(L359,'Discount Slabs'!$A$5:$B$9,2,TRUE()),0))</f>
        <v/>
      </c>
      <c r="O359" s="12"/>
      <c r="P359" s="10" t="str">
        <f t="shared" si="30"/>
        <v/>
      </c>
      <c r="Q359" s="10" t="str">
        <f t="shared" si="31"/>
        <v/>
      </c>
      <c r="R359" s="13"/>
      <c r="S359" s="10" t="str">
        <f t="shared" si="32"/>
        <v/>
      </c>
      <c r="T359" s="8"/>
      <c r="U359" s="7"/>
      <c r="V359" s="13"/>
      <c r="W359" s="9" t="str">
        <f t="shared" si="33"/>
        <v/>
      </c>
      <c r="X359" s="10" t="str">
        <f t="shared" si="34"/>
        <v/>
      </c>
      <c r="Y359" s="8"/>
      <c r="Z359" s="7"/>
      <c r="AA359" s="7"/>
      <c r="AB359" s="7"/>
      <c r="AC359" t="str">
        <f t="shared" si="35"/>
        <v/>
      </c>
    </row>
    <row r="360" spans="1:29" x14ac:dyDescent="0.3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9" t="str">
        <f>IF(J360="","",IFERROR(INDEX(Products!$B$5:$B$89,MATCH(J360,Products!$A$5:$A$89,0)),"Check ID"))</f>
        <v/>
      </c>
      <c r="L360" s="7"/>
      <c r="M360" s="10" t="str">
        <f>IF(J360="","",IFERROR(INDEX(Products!$E$5:$E$89,MATCH(J360,Products!$A$5:$A$89,0)),0))</f>
        <v/>
      </c>
      <c r="N360" s="11" t="str">
        <f>IF(L360="","",IFERROR(VLOOKUP(L360,'Discount Slabs'!$A$5:$B$9,2,TRUE()),0))</f>
        <v/>
      </c>
      <c r="O360" s="12"/>
      <c r="P360" s="10" t="str">
        <f t="shared" si="30"/>
        <v/>
      </c>
      <c r="Q360" s="10" t="str">
        <f t="shared" si="31"/>
        <v/>
      </c>
      <c r="R360" s="13"/>
      <c r="S360" s="10" t="str">
        <f t="shared" si="32"/>
        <v/>
      </c>
      <c r="T360" s="8"/>
      <c r="U360" s="7"/>
      <c r="V360" s="13"/>
      <c r="W360" s="9" t="str">
        <f t="shared" si="33"/>
        <v/>
      </c>
      <c r="X360" s="10" t="str">
        <f t="shared" si="34"/>
        <v/>
      </c>
      <c r="Y360" s="8"/>
      <c r="Z360" s="7"/>
      <c r="AA360" s="7"/>
      <c r="AB360" s="7"/>
      <c r="AC360" t="str">
        <f t="shared" si="35"/>
        <v/>
      </c>
    </row>
    <row r="361" spans="1:29" x14ac:dyDescent="0.3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9" t="str">
        <f>IF(J361="","",IFERROR(INDEX(Products!$B$5:$B$89,MATCH(J361,Products!$A$5:$A$89,0)),"Check ID"))</f>
        <v/>
      </c>
      <c r="L361" s="7"/>
      <c r="M361" s="10" t="str">
        <f>IF(J361="","",IFERROR(INDEX(Products!$E$5:$E$89,MATCH(J361,Products!$A$5:$A$89,0)),0))</f>
        <v/>
      </c>
      <c r="N361" s="11" t="str">
        <f>IF(L361="","",IFERROR(VLOOKUP(L361,'Discount Slabs'!$A$5:$B$9,2,TRUE()),0))</f>
        <v/>
      </c>
      <c r="O361" s="12"/>
      <c r="P361" s="10" t="str">
        <f t="shared" si="30"/>
        <v/>
      </c>
      <c r="Q361" s="10" t="str">
        <f t="shared" si="31"/>
        <v/>
      </c>
      <c r="R361" s="13"/>
      <c r="S361" s="10" t="str">
        <f t="shared" si="32"/>
        <v/>
      </c>
      <c r="T361" s="8"/>
      <c r="U361" s="7"/>
      <c r="V361" s="13"/>
      <c r="W361" s="9" t="str">
        <f t="shared" si="33"/>
        <v/>
      </c>
      <c r="X361" s="10" t="str">
        <f t="shared" si="34"/>
        <v/>
      </c>
      <c r="Y361" s="8"/>
      <c r="Z361" s="7"/>
      <c r="AA361" s="7"/>
      <c r="AB361" s="7"/>
      <c r="AC361" t="str">
        <f t="shared" si="35"/>
        <v/>
      </c>
    </row>
    <row r="362" spans="1:29" x14ac:dyDescent="0.3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9" t="str">
        <f>IF(J362="","",IFERROR(INDEX(Products!$B$5:$B$89,MATCH(J362,Products!$A$5:$A$89,0)),"Check ID"))</f>
        <v/>
      </c>
      <c r="L362" s="7"/>
      <c r="M362" s="10" t="str">
        <f>IF(J362="","",IFERROR(INDEX(Products!$E$5:$E$89,MATCH(J362,Products!$A$5:$A$89,0)),0))</f>
        <v/>
      </c>
      <c r="N362" s="11" t="str">
        <f>IF(L362="","",IFERROR(VLOOKUP(L362,'Discount Slabs'!$A$5:$B$9,2,TRUE()),0))</f>
        <v/>
      </c>
      <c r="O362" s="12"/>
      <c r="P362" s="10" t="str">
        <f t="shared" si="30"/>
        <v/>
      </c>
      <c r="Q362" s="10" t="str">
        <f t="shared" si="31"/>
        <v/>
      </c>
      <c r="R362" s="13"/>
      <c r="S362" s="10" t="str">
        <f t="shared" si="32"/>
        <v/>
      </c>
      <c r="T362" s="8"/>
      <c r="U362" s="7"/>
      <c r="V362" s="13"/>
      <c r="W362" s="9" t="str">
        <f t="shared" si="33"/>
        <v/>
      </c>
      <c r="X362" s="10" t="str">
        <f t="shared" si="34"/>
        <v/>
      </c>
      <c r="Y362" s="8"/>
      <c r="Z362" s="7"/>
      <c r="AA362" s="7"/>
      <c r="AB362" s="7"/>
      <c r="AC362" t="str">
        <f t="shared" si="35"/>
        <v/>
      </c>
    </row>
    <row r="363" spans="1:29" x14ac:dyDescent="0.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9" t="str">
        <f>IF(J363="","",IFERROR(INDEX(Products!$B$5:$B$89,MATCH(J363,Products!$A$5:$A$89,0)),"Check ID"))</f>
        <v/>
      </c>
      <c r="L363" s="7"/>
      <c r="M363" s="10" t="str">
        <f>IF(J363="","",IFERROR(INDEX(Products!$E$5:$E$89,MATCH(J363,Products!$A$5:$A$89,0)),0))</f>
        <v/>
      </c>
      <c r="N363" s="11" t="str">
        <f>IF(L363="","",IFERROR(VLOOKUP(L363,'Discount Slabs'!$A$5:$B$9,2,TRUE()),0))</f>
        <v/>
      </c>
      <c r="O363" s="12"/>
      <c r="P363" s="10" t="str">
        <f t="shared" si="30"/>
        <v/>
      </c>
      <c r="Q363" s="10" t="str">
        <f t="shared" si="31"/>
        <v/>
      </c>
      <c r="R363" s="13"/>
      <c r="S363" s="10" t="str">
        <f t="shared" si="32"/>
        <v/>
      </c>
      <c r="T363" s="8"/>
      <c r="U363" s="7"/>
      <c r="V363" s="13"/>
      <c r="W363" s="9" t="str">
        <f t="shared" si="33"/>
        <v/>
      </c>
      <c r="X363" s="10" t="str">
        <f t="shared" si="34"/>
        <v/>
      </c>
      <c r="Y363" s="8"/>
      <c r="Z363" s="7"/>
      <c r="AA363" s="7"/>
      <c r="AB363" s="7"/>
      <c r="AC363" t="str">
        <f t="shared" si="35"/>
        <v/>
      </c>
    </row>
    <row r="364" spans="1:29" x14ac:dyDescent="0.3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9" t="str">
        <f>IF(J364="","",IFERROR(INDEX(Products!$B$5:$B$89,MATCH(J364,Products!$A$5:$A$89,0)),"Check ID"))</f>
        <v/>
      </c>
      <c r="L364" s="7"/>
      <c r="M364" s="10" t="str">
        <f>IF(J364="","",IFERROR(INDEX(Products!$E$5:$E$89,MATCH(J364,Products!$A$5:$A$89,0)),0))</f>
        <v/>
      </c>
      <c r="N364" s="11" t="str">
        <f>IF(L364="","",IFERROR(VLOOKUP(L364,'Discount Slabs'!$A$5:$B$9,2,TRUE()),0))</f>
        <v/>
      </c>
      <c r="O364" s="12"/>
      <c r="P364" s="10" t="str">
        <f t="shared" si="30"/>
        <v/>
      </c>
      <c r="Q364" s="10" t="str">
        <f t="shared" si="31"/>
        <v/>
      </c>
      <c r="R364" s="13"/>
      <c r="S364" s="10" t="str">
        <f t="shared" si="32"/>
        <v/>
      </c>
      <c r="T364" s="8"/>
      <c r="U364" s="7"/>
      <c r="V364" s="13"/>
      <c r="W364" s="9" t="str">
        <f t="shared" si="33"/>
        <v/>
      </c>
      <c r="X364" s="10" t="str">
        <f t="shared" si="34"/>
        <v/>
      </c>
      <c r="Y364" s="8"/>
      <c r="Z364" s="7"/>
      <c r="AA364" s="7"/>
      <c r="AB364" s="7"/>
      <c r="AC364" t="str">
        <f t="shared" si="35"/>
        <v/>
      </c>
    </row>
    <row r="365" spans="1:29" x14ac:dyDescent="0.3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9" t="str">
        <f>IF(J365="","",IFERROR(INDEX(Products!$B$5:$B$89,MATCH(J365,Products!$A$5:$A$89,0)),"Check ID"))</f>
        <v/>
      </c>
      <c r="L365" s="7"/>
      <c r="M365" s="10" t="str">
        <f>IF(J365="","",IFERROR(INDEX(Products!$E$5:$E$89,MATCH(J365,Products!$A$5:$A$89,0)),0))</f>
        <v/>
      </c>
      <c r="N365" s="11" t="str">
        <f>IF(L365="","",IFERROR(VLOOKUP(L365,'Discount Slabs'!$A$5:$B$9,2,TRUE()),0))</f>
        <v/>
      </c>
      <c r="O365" s="12"/>
      <c r="P365" s="10" t="str">
        <f t="shared" si="30"/>
        <v/>
      </c>
      <c r="Q365" s="10" t="str">
        <f t="shared" si="31"/>
        <v/>
      </c>
      <c r="R365" s="13"/>
      <c r="S365" s="10" t="str">
        <f t="shared" si="32"/>
        <v/>
      </c>
      <c r="T365" s="8"/>
      <c r="U365" s="7"/>
      <c r="V365" s="13"/>
      <c r="W365" s="9" t="str">
        <f t="shared" si="33"/>
        <v/>
      </c>
      <c r="X365" s="10" t="str">
        <f t="shared" si="34"/>
        <v/>
      </c>
      <c r="Y365" s="8"/>
      <c r="Z365" s="7"/>
      <c r="AA365" s="7"/>
      <c r="AB365" s="7"/>
      <c r="AC365" t="str">
        <f t="shared" si="35"/>
        <v/>
      </c>
    </row>
    <row r="366" spans="1:29" x14ac:dyDescent="0.3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9" t="str">
        <f>IF(J366="","",IFERROR(INDEX(Products!$B$5:$B$89,MATCH(J366,Products!$A$5:$A$89,0)),"Check ID"))</f>
        <v/>
      </c>
      <c r="L366" s="7"/>
      <c r="M366" s="10" t="str">
        <f>IF(J366="","",IFERROR(INDEX(Products!$E$5:$E$89,MATCH(J366,Products!$A$5:$A$89,0)),0))</f>
        <v/>
      </c>
      <c r="N366" s="11" t="str">
        <f>IF(L366="","",IFERROR(VLOOKUP(L366,'Discount Slabs'!$A$5:$B$9,2,TRUE()),0))</f>
        <v/>
      </c>
      <c r="O366" s="12"/>
      <c r="P366" s="10" t="str">
        <f t="shared" si="30"/>
        <v/>
      </c>
      <c r="Q366" s="10" t="str">
        <f t="shared" si="31"/>
        <v/>
      </c>
      <c r="R366" s="13"/>
      <c r="S366" s="10" t="str">
        <f t="shared" si="32"/>
        <v/>
      </c>
      <c r="T366" s="8"/>
      <c r="U366" s="7"/>
      <c r="V366" s="13"/>
      <c r="W366" s="9" t="str">
        <f t="shared" si="33"/>
        <v/>
      </c>
      <c r="X366" s="10" t="str">
        <f t="shared" si="34"/>
        <v/>
      </c>
      <c r="Y366" s="8"/>
      <c r="Z366" s="7"/>
      <c r="AA366" s="7"/>
      <c r="AB366" s="7"/>
      <c r="AC366" t="str">
        <f t="shared" si="35"/>
        <v/>
      </c>
    </row>
    <row r="367" spans="1:29" x14ac:dyDescent="0.3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9" t="str">
        <f>IF(J367="","",IFERROR(INDEX(Products!$B$5:$B$89,MATCH(J367,Products!$A$5:$A$89,0)),"Check ID"))</f>
        <v/>
      </c>
      <c r="L367" s="7"/>
      <c r="M367" s="10" t="str">
        <f>IF(J367="","",IFERROR(INDEX(Products!$E$5:$E$89,MATCH(J367,Products!$A$5:$A$89,0)),0))</f>
        <v/>
      </c>
      <c r="N367" s="11" t="str">
        <f>IF(L367="","",IFERROR(VLOOKUP(L367,'Discount Slabs'!$A$5:$B$9,2,TRUE()),0))</f>
        <v/>
      </c>
      <c r="O367" s="12"/>
      <c r="P367" s="10" t="str">
        <f t="shared" si="30"/>
        <v/>
      </c>
      <c r="Q367" s="10" t="str">
        <f t="shared" si="31"/>
        <v/>
      </c>
      <c r="R367" s="13"/>
      <c r="S367" s="10" t="str">
        <f t="shared" si="32"/>
        <v/>
      </c>
      <c r="T367" s="8"/>
      <c r="U367" s="7"/>
      <c r="V367" s="13"/>
      <c r="W367" s="9" t="str">
        <f t="shared" si="33"/>
        <v/>
      </c>
      <c r="X367" s="10" t="str">
        <f t="shared" si="34"/>
        <v/>
      </c>
      <c r="Y367" s="8"/>
      <c r="Z367" s="7"/>
      <c r="AA367" s="7"/>
      <c r="AB367" s="7"/>
      <c r="AC367" t="str">
        <f t="shared" si="35"/>
        <v/>
      </c>
    </row>
    <row r="368" spans="1:29" x14ac:dyDescent="0.3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9" t="str">
        <f>IF(J368="","",IFERROR(INDEX(Products!$B$5:$B$89,MATCH(J368,Products!$A$5:$A$89,0)),"Check ID"))</f>
        <v/>
      </c>
      <c r="L368" s="7"/>
      <c r="M368" s="10" t="str">
        <f>IF(J368="","",IFERROR(INDEX(Products!$E$5:$E$89,MATCH(J368,Products!$A$5:$A$89,0)),0))</f>
        <v/>
      </c>
      <c r="N368" s="11" t="str">
        <f>IF(L368="","",IFERROR(VLOOKUP(L368,'Discount Slabs'!$A$5:$B$9,2,TRUE()),0))</f>
        <v/>
      </c>
      <c r="O368" s="12"/>
      <c r="P368" s="10" t="str">
        <f t="shared" si="30"/>
        <v/>
      </c>
      <c r="Q368" s="10" t="str">
        <f t="shared" si="31"/>
        <v/>
      </c>
      <c r="R368" s="13"/>
      <c r="S368" s="10" t="str">
        <f t="shared" si="32"/>
        <v/>
      </c>
      <c r="T368" s="8"/>
      <c r="U368" s="7"/>
      <c r="V368" s="13"/>
      <c r="W368" s="9" t="str">
        <f t="shared" si="33"/>
        <v/>
      </c>
      <c r="X368" s="10" t="str">
        <f t="shared" si="34"/>
        <v/>
      </c>
      <c r="Y368" s="8"/>
      <c r="Z368" s="7"/>
      <c r="AA368" s="7"/>
      <c r="AB368" s="7"/>
      <c r="AC368" t="str">
        <f t="shared" si="35"/>
        <v/>
      </c>
    </row>
    <row r="369" spans="1:29" x14ac:dyDescent="0.3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9" t="str">
        <f>IF(J369="","",IFERROR(INDEX(Products!$B$5:$B$89,MATCH(J369,Products!$A$5:$A$89,0)),"Check ID"))</f>
        <v/>
      </c>
      <c r="L369" s="7"/>
      <c r="M369" s="10" t="str">
        <f>IF(J369="","",IFERROR(INDEX(Products!$E$5:$E$89,MATCH(J369,Products!$A$5:$A$89,0)),0))</f>
        <v/>
      </c>
      <c r="N369" s="11" t="str">
        <f>IF(L369="","",IFERROR(VLOOKUP(L369,'Discount Slabs'!$A$5:$B$9,2,TRUE()),0))</f>
        <v/>
      </c>
      <c r="O369" s="12"/>
      <c r="P369" s="10" t="str">
        <f t="shared" si="30"/>
        <v/>
      </c>
      <c r="Q369" s="10" t="str">
        <f t="shared" si="31"/>
        <v/>
      </c>
      <c r="R369" s="13"/>
      <c r="S369" s="10" t="str">
        <f t="shared" si="32"/>
        <v/>
      </c>
      <c r="T369" s="8"/>
      <c r="U369" s="7"/>
      <c r="V369" s="13"/>
      <c r="W369" s="9" t="str">
        <f t="shared" si="33"/>
        <v/>
      </c>
      <c r="X369" s="10" t="str">
        <f t="shared" si="34"/>
        <v/>
      </c>
      <c r="Y369" s="8"/>
      <c r="Z369" s="7"/>
      <c r="AA369" s="7"/>
      <c r="AB369" s="7"/>
      <c r="AC369" t="str">
        <f t="shared" si="35"/>
        <v/>
      </c>
    </row>
    <row r="370" spans="1:29" x14ac:dyDescent="0.3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9" t="str">
        <f>IF(J370="","",IFERROR(INDEX(Products!$B$5:$B$89,MATCH(J370,Products!$A$5:$A$89,0)),"Check ID"))</f>
        <v/>
      </c>
      <c r="L370" s="7"/>
      <c r="M370" s="10" t="str">
        <f>IF(J370="","",IFERROR(INDEX(Products!$E$5:$E$89,MATCH(J370,Products!$A$5:$A$89,0)),0))</f>
        <v/>
      </c>
      <c r="N370" s="11" t="str">
        <f>IF(L370="","",IFERROR(VLOOKUP(L370,'Discount Slabs'!$A$5:$B$9,2,TRUE()),0))</f>
        <v/>
      </c>
      <c r="O370" s="12"/>
      <c r="P370" s="10" t="str">
        <f t="shared" si="30"/>
        <v/>
      </c>
      <c r="Q370" s="10" t="str">
        <f t="shared" si="31"/>
        <v/>
      </c>
      <c r="R370" s="13"/>
      <c r="S370" s="10" t="str">
        <f t="shared" si="32"/>
        <v/>
      </c>
      <c r="T370" s="8"/>
      <c r="U370" s="7"/>
      <c r="V370" s="13"/>
      <c r="W370" s="9" t="str">
        <f t="shared" si="33"/>
        <v/>
      </c>
      <c r="X370" s="10" t="str">
        <f t="shared" si="34"/>
        <v/>
      </c>
      <c r="Y370" s="8"/>
      <c r="Z370" s="7"/>
      <c r="AA370" s="7"/>
      <c r="AB370" s="7"/>
      <c r="AC370" t="str">
        <f t="shared" si="35"/>
        <v/>
      </c>
    </row>
    <row r="371" spans="1:29" x14ac:dyDescent="0.3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9" t="str">
        <f>IF(J371="","",IFERROR(INDEX(Products!$B$5:$B$89,MATCH(J371,Products!$A$5:$A$89,0)),"Check ID"))</f>
        <v/>
      </c>
      <c r="L371" s="7"/>
      <c r="M371" s="10" t="str">
        <f>IF(J371="","",IFERROR(INDEX(Products!$E$5:$E$89,MATCH(J371,Products!$A$5:$A$89,0)),0))</f>
        <v/>
      </c>
      <c r="N371" s="11" t="str">
        <f>IF(L371="","",IFERROR(VLOOKUP(L371,'Discount Slabs'!$A$5:$B$9,2,TRUE()),0))</f>
        <v/>
      </c>
      <c r="O371" s="12"/>
      <c r="P371" s="10" t="str">
        <f t="shared" si="30"/>
        <v/>
      </c>
      <c r="Q371" s="10" t="str">
        <f t="shared" si="31"/>
        <v/>
      </c>
      <c r="R371" s="13"/>
      <c r="S371" s="10" t="str">
        <f t="shared" si="32"/>
        <v/>
      </c>
      <c r="T371" s="8"/>
      <c r="U371" s="7"/>
      <c r="V371" s="13"/>
      <c r="W371" s="9" t="str">
        <f t="shared" si="33"/>
        <v/>
      </c>
      <c r="X371" s="10" t="str">
        <f t="shared" si="34"/>
        <v/>
      </c>
      <c r="Y371" s="8"/>
      <c r="Z371" s="7"/>
      <c r="AA371" s="7"/>
      <c r="AB371" s="7"/>
      <c r="AC371" t="str">
        <f t="shared" si="35"/>
        <v/>
      </c>
    </row>
    <row r="372" spans="1:29" x14ac:dyDescent="0.3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9" t="str">
        <f>IF(J372="","",IFERROR(INDEX(Products!$B$5:$B$89,MATCH(J372,Products!$A$5:$A$89,0)),"Check ID"))</f>
        <v/>
      </c>
      <c r="L372" s="7"/>
      <c r="M372" s="10" t="str">
        <f>IF(J372="","",IFERROR(INDEX(Products!$E$5:$E$89,MATCH(J372,Products!$A$5:$A$89,0)),0))</f>
        <v/>
      </c>
      <c r="N372" s="11" t="str">
        <f>IF(L372="","",IFERROR(VLOOKUP(L372,'Discount Slabs'!$A$5:$B$9,2,TRUE()),0))</f>
        <v/>
      </c>
      <c r="O372" s="12"/>
      <c r="P372" s="10" t="str">
        <f t="shared" si="30"/>
        <v/>
      </c>
      <c r="Q372" s="10" t="str">
        <f t="shared" si="31"/>
        <v/>
      </c>
      <c r="R372" s="13"/>
      <c r="S372" s="10" t="str">
        <f t="shared" si="32"/>
        <v/>
      </c>
      <c r="T372" s="8"/>
      <c r="U372" s="7"/>
      <c r="V372" s="13"/>
      <c r="W372" s="9" t="str">
        <f t="shared" si="33"/>
        <v/>
      </c>
      <c r="X372" s="10" t="str">
        <f t="shared" si="34"/>
        <v/>
      </c>
      <c r="Y372" s="8"/>
      <c r="Z372" s="7"/>
      <c r="AA372" s="7"/>
      <c r="AB372" s="7"/>
      <c r="AC372" t="str">
        <f t="shared" si="35"/>
        <v/>
      </c>
    </row>
    <row r="373" spans="1:29" x14ac:dyDescent="0.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9" t="str">
        <f>IF(J373="","",IFERROR(INDEX(Products!$B$5:$B$89,MATCH(J373,Products!$A$5:$A$89,0)),"Check ID"))</f>
        <v/>
      </c>
      <c r="L373" s="7"/>
      <c r="M373" s="10" t="str">
        <f>IF(J373="","",IFERROR(INDEX(Products!$E$5:$E$89,MATCH(J373,Products!$A$5:$A$89,0)),0))</f>
        <v/>
      </c>
      <c r="N373" s="11" t="str">
        <f>IF(L373="","",IFERROR(VLOOKUP(L373,'Discount Slabs'!$A$5:$B$9,2,TRUE()),0))</f>
        <v/>
      </c>
      <c r="O373" s="12"/>
      <c r="P373" s="10" t="str">
        <f t="shared" si="30"/>
        <v/>
      </c>
      <c r="Q373" s="10" t="str">
        <f t="shared" si="31"/>
        <v/>
      </c>
      <c r="R373" s="13"/>
      <c r="S373" s="10" t="str">
        <f t="shared" si="32"/>
        <v/>
      </c>
      <c r="T373" s="8"/>
      <c r="U373" s="7"/>
      <c r="V373" s="13"/>
      <c r="W373" s="9" t="str">
        <f t="shared" si="33"/>
        <v/>
      </c>
      <c r="X373" s="10" t="str">
        <f t="shared" si="34"/>
        <v/>
      </c>
      <c r="Y373" s="8"/>
      <c r="Z373" s="7"/>
      <c r="AA373" s="7"/>
      <c r="AB373" s="7"/>
      <c r="AC373" t="str">
        <f t="shared" si="35"/>
        <v/>
      </c>
    </row>
    <row r="374" spans="1:29" x14ac:dyDescent="0.3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9" t="str">
        <f>IF(J374="","",IFERROR(INDEX(Products!$B$5:$B$89,MATCH(J374,Products!$A$5:$A$89,0)),"Check ID"))</f>
        <v/>
      </c>
      <c r="L374" s="7"/>
      <c r="M374" s="10" t="str">
        <f>IF(J374="","",IFERROR(INDEX(Products!$E$5:$E$89,MATCH(J374,Products!$A$5:$A$89,0)),0))</f>
        <v/>
      </c>
      <c r="N374" s="11" t="str">
        <f>IF(L374="","",IFERROR(VLOOKUP(L374,'Discount Slabs'!$A$5:$B$9,2,TRUE()),0))</f>
        <v/>
      </c>
      <c r="O374" s="12"/>
      <c r="P374" s="10" t="str">
        <f t="shared" si="30"/>
        <v/>
      </c>
      <c r="Q374" s="10" t="str">
        <f t="shared" si="31"/>
        <v/>
      </c>
      <c r="R374" s="13"/>
      <c r="S374" s="10" t="str">
        <f t="shared" si="32"/>
        <v/>
      </c>
      <c r="T374" s="8"/>
      <c r="U374" s="7"/>
      <c r="V374" s="13"/>
      <c r="W374" s="9" t="str">
        <f t="shared" si="33"/>
        <v/>
      </c>
      <c r="X374" s="10" t="str">
        <f t="shared" si="34"/>
        <v/>
      </c>
      <c r="Y374" s="8"/>
      <c r="Z374" s="7"/>
      <c r="AA374" s="7"/>
      <c r="AB374" s="7"/>
      <c r="AC374" t="str">
        <f t="shared" si="35"/>
        <v/>
      </c>
    </row>
    <row r="375" spans="1:29" x14ac:dyDescent="0.3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9" t="str">
        <f>IF(J375="","",IFERROR(INDEX(Products!$B$5:$B$89,MATCH(J375,Products!$A$5:$A$89,0)),"Check ID"))</f>
        <v/>
      </c>
      <c r="L375" s="7"/>
      <c r="M375" s="10" t="str">
        <f>IF(J375="","",IFERROR(INDEX(Products!$E$5:$E$89,MATCH(J375,Products!$A$5:$A$89,0)),0))</f>
        <v/>
      </c>
      <c r="N375" s="11" t="str">
        <f>IF(L375="","",IFERROR(VLOOKUP(L375,'Discount Slabs'!$A$5:$B$9,2,TRUE()),0))</f>
        <v/>
      </c>
      <c r="O375" s="12"/>
      <c r="P375" s="10" t="str">
        <f t="shared" si="30"/>
        <v/>
      </c>
      <c r="Q375" s="10" t="str">
        <f t="shared" si="31"/>
        <v/>
      </c>
      <c r="R375" s="13"/>
      <c r="S375" s="10" t="str">
        <f t="shared" si="32"/>
        <v/>
      </c>
      <c r="T375" s="8"/>
      <c r="U375" s="7"/>
      <c r="V375" s="13"/>
      <c r="W375" s="9" t="str">
        <f t="shared" si="33"/>
        <v/>
      </c>
      <c r="X375" s="10" t="str">
        <f t="shared" si="34"/>
        <v/>
      </c>
      <c r="Y375" s="8"/>
      <c r="Z375" s="7"/>
      <c r="AA375" s="7"/>
      <c r="AB375" s="7"/>
      <c r="AC375" t="str">
        <f t="shared" si="35"/>
        <v/>
      </c>
    </row>
    <row r="376" spans="1:29" x14ac:dyDescent="0.3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9" t="str">
        <f>IF(J376="","",IFERROR(INDEX(Products!$B$5:$B$89,MATCH(J376,Products!$A$5:$A$89,0)),"Check ID"))</f>
        <v/>
      </c>
      <c r="L376" s="7"/>
      <c r="M376" s="10" t="str">
        <f>IF(J376="","",IFERROR(INDEX(Products!$E$5:$E$89,MATCH(J376,Products!$A$5:$A$89,0)),0))</f>
        <v/>
      </c>
      <c r="N376" s="11" t="str">
        <f>IF(L376="","",IFERROR(VLOOKUP(L376,'Discount Slabs'!$A$5:$B$9,2,TRUE()),0))</f>
        <v/>
      </c>
      <c r="O376" s="12"/>
      <c r="P376" s="10" t="str">
        <f t="shared" si="30"/>
        <v/>
      </c>
      <c r="Q376" s="10" t="str">
        <f t="shared" si="31"/>
        <v/>
      </c>
      <c r="R376" s="13"/>
      <c r="S376" s="10" t="str">
        <f t="shared" si="32"/>
        <v/>
      </c>
      <c r="T376" s="8"/>
      <c r="U376" s="7"/>
      <c r="V376" s="13"/>
      <c r="W376" s="9" t="str">
        <f t="shared" si="33"/>
        <v/>
      </c>
      <c r="X376" s="10" t="str">
        <f t="shared" si="34"/>
        <v/>
      </c>
      <c r="Y376" s="8"/>
      <c r="Z376" s="7"/>
      <c r="AA376" s="7"/>
      <c r="AB376" s="7"/>
      <c r="AC376" t="str">
        <f t="shared" si="35"/>
        <v/>
      </c>
    </row>
    <row r="377" spans="1:29" x14ac:dyDescent="0.3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9" t="str">
        <f>IF(J377="","",IFERROR(INDEX(Products!$B$5:$B$89,MATCH(J377,Products!$A$5:$A$89,0)),"Check ID"))</f>
        <v/>
      </c>
      <c r="L377" s="7"/>
      <c r="M377" s="10" t="str">
        <f>IF(J377="","",IFERROR(INDEX(Products!$E$5:$E$89,MATCH(J377,Products!$A$5:$A$89,0)),0))</f>
        <v/>
      </c>
      <c r="N377" s="11" t="str">
        <f>IF(L377="","",IFERROR(VLOOKUP(L377,'Discount Slabs'!$A$5:$B$9,2,TRUE()),0))</f>
        <v/>
      </c>
      <c r="O377" s="12"/>
      <c r="P377" s="10" t="str">
        <f t="shared" si="30"/>
        <v/>
      </c>
      <c r="Q377" s="10" t="str">
        <f t="shared" si="31"/>
        <v/>
      </c>
      <c r="R377" s="13"/>
      <c r="S377" s="10" t="str">
        <f t="shared" si="32"/>
        <v/>
      </c>
      <c r="T377" s="8"/>
      <c r="U377" s="7"/>
      <c r="V377" s="13"/>
      <c r="W377" s="9" t="str">
        <f t="shared" si="33"/>
        <v/>
      </c>
      <c r="X377" s="10" t="str">
        <f t="shared" si="34"/>
        <v/>
      </c>
      <c r="Y377" s="8"/>
      <c r="Z377" s="7"/>
      <c r="AA377" s="7"/>
      <c r="AB377" s="7"/>
      <c r="AC377" t="str">
        <f t="shared" si="35"/>
        <v/>
      </c>
    </row>
    <row r="378" spans="1:29" x14ac:dyDescent="0.3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9" t="str">
        <f>IF(J378="","",IFERROR(INDEX(Products!$B$5:$B$89,MATCH(J378,Products!$A$5:$A$89,0)),"Check ID"))</f>
        <v/>
      </c>
      <c r="L378" s="7"/>
      <c r="M378" s="10" t="str">
        <f>IF(J378="","",IFERROR(INDEX(Products!$E$5:$E$89,MATCH(J378,Products!$A$5:$A$89,0)),0))</f>
        <v/>
      </c>
      <c r="N378" s="11" t="str">
        <f>IF(L378="","",IFERROR(VLOOKUP(L378,'Discount Slabs'!$A$5:$B$9,2,TRUE()),0))</f>
        <v/>
      </c>
      <c r="O378" s="12"/>
      <c r="P378" s="10" t="str">
        <f t="shared" si="30"/>
        <v/>
      </c>
      <c r="Q378" s="10" t="str">
        <f t="shared" si="31"/>
        <v/>
      </c>
      <c r="R378" s="13"/>
      <c r="S378" s="10" t="str">
        <f t="shared" si="32"/>
        <v/>
      </c>
      <c r="T378" s="8"/>
      <c r="U378" s="7"/>
      <c r="V378" s="13"/>
      <c r="W378" s="9" t="str">
        <f t="shared" si="33"/>
        <v/>
      </c>
      <c r="X378" s="10" t="str">
        <f t="shared" si="34"/>
        <v/>
      </c>
      <c r="Y378" s="8"/>
      <c r="Z378" s="7"/>
      <c r="AA378" s="7"/>
      <c r="AB378" s="7"/>
      <c r="AC378" t="str">
        <f t="shared" si="35"/>
        <v/>
      </c>
    </row>
    <row r="379" spans="1:29" x14ac:dyDescent="0.3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9" t="str">
        <f>IF(J379="","",IFERROR(INDEX(Products!$B$5:$B$89,MATCH(J379,Products!$A$5:$A$89,0)),"Check ID"))</f>
        <v/>
      </c>
      <c r="L379" s="7"/>
      <c r="M379" s="10" t="str">
        <f>IF(J379="","",IFERROR(INDEX(Products!$E$5:$E$89,MATCH(J379,Products!$A$5:$A$89,0)),0))</f>
        <v/>
      </c>
      <c r="N379" s="11" t="str">
        <f>IF(L379="","",IFERROR(VLOOKUP(L379,'Discount Slabs'!$A$5:$B$9,2,TRUE()),0))</f>
        <v/>
      </c>
      <c r="O379" s="12"/>
      <c r="P379" s="10" t="str">
        <f t="shared" si="30"/>
        <v/>
      </c>
      <c r="Q379" s="10" t="str">
        <f t="shared" si="31"/>
        <v/>
      </c>
      <c r="R379" s="13"/>
      <c r="S379" s="10" t="str">
        <f t="shared" si="32"/>
        <v/>
      </c>
      <c r="T379" s="8"/>
      <c r="U379" s="7"/>
      <c r="V379" s="13"/>
      <c r="W379" s="9" t="str">
        <f t="shared" si="33"/>
        <v/>
      </c>
      <c r="X379" s="10" t="str">
        <f t="shared" si="34"/>
        <v/>
      </c>
      <c r="Y379" s="8"/>
      <c r="Z379" s="7"/>
      <c r="AA379" s="7"/>
      <c r="AB379" s="7"/>
      <c r="AC379" t="str">
        <f t="shared" si="35"/>
        <v/>
      </c>
    </row>
    <row r="380" spans="1:29" x14ac:dyDescent="0.3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9" t="str">
        <f>IF(J380="","",IFERROR(INDEX(Products!$B$5:$B$89,MATCH(J380,Products!$A$5:$A$89,0)),"Check ID"))</f>
        <v/>
      </c>
      <c r="L380" s="7"/>
      <c r="M380" s="10" t="str">
        <f>IF(J380="","",IFERROR(INDEX(Products!$E$5:$E$89,MATCH(J380,Products!$A$5:$A$89,0)),0))</f>
        <v/>
      </c>
      <c r="N380" s="11" t="str">
        <f>IF(L380="","",IFERROR(VLOOKUP(L380,'Discount Slabs'!$A$5:$B$9,2,TRUE()),0))</f>
        <v/>
      </c>
      <c r="O380" s="12"/>
      <c r="P380" s="10" t="str">
        <f t="shared" si="30"/>
        <v/>
      </c>
      <c r="Q380" s="10" t="str">
        <f t="shared" si="31"/>
        <v/>
      </c>
      <c r="R380" s="13"/>
      <c r="S380" s="10" t="str">
        <f t="shared" si="32"/>
        <v/>
      </c>
      <c r="T380" s="8"/>
      <c r="U380" s="7"/>
      <c r="V380" s="13"/>
      <c r="W380" s="9" t="str">
        <f t="shared" si="33"/>
        <v/>
      </c>
      <c r="X380" s="10" t="str">
        <f t="shared" si="34"/>
        <v/>
      </c>
      <c r="Y380" s="8"/>
      <c r="Z380" s="7"/>
      <c r="AA380" s="7"/>
      <c r="AB380" s="7"/>
      <c r="AC380" t="str">
        <f t="shared" si="35"/>
        <v/>
      </c>
    </row>
    <row r="381" spans="1:29" x14ac:dyDescent="0.3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9" t="str">
        <f>IF(J381="","",IFERROR(INDEX(Products!$B$5:$B$89,MATCH(J381,Products!$A$5:$A$89,0)),"Check ID"))</f>
        <v/>
      </c>
      <c r="L381" s="7"/>
      <c r="M381" s="10" t="str">
        <f>IF(J381="","",IFERROR(INDEX(Products!$E$5:$E$89,MATCH(J381,Products!$A$5:$A$89,0)),0))</f>
        <v/>
      </c>
      <c r="N381" s="11" t="str">
        <f>IF(L381="","",IFERROR(VLOOKUP(L381,'Discount Slabs'!$A$5:$B$9,2,TRUE()),0))</f>
        <v/>
      </c>
      <c r="O381" s="12"/>
      <c r="P381" s="10" t="str">
        <f t="shared" si="30"/>
        <v/>
      </c>
      <c r="Q381" s="10" t="str">
        <f t="shared" si="31"/>
        <v/>
      </c>
      <c r="R381" s="13"/>
      <c r="S381" s="10" t="str">
        <f t="shared" si="32"/>
        <v/>
      </c>
      <c r="T381" s="8"/>
      <c r="U381" s="7"/>
      <c r="V381" s="13"/>
      <c r="W381" s="9" t="str">
        <f t="shared" si="33"/>
        <v/>
      </c>
      <c r="X381" s="10" t="str">
        <f t="shared" si="34"/>
        <v/>
      </c>
      <c r="Y381" s="8"/>
      <c r="Z381" s="7"/>
      <c r="AA381" s="7"/>
      <c r="AB381" s="7"/>
      <c r="AC381" t="str">
        <f t="shared" si="35"/>
        <v/>
      </c>
    </row>
    <row r="382" spans="1:29" x14ac:dyDescent="0.3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9" t="str">
        <f>IF(J382="","",IFERROR(INDEX(Products!$B$5:$B$89,MATCH(J382,Products!$A$5:$A$89,0)),"Check ID"))</f>
        <v/>
      </c>
      <c r="L382" s="7"/>
      <c r="M382" s="10" t="str">
        <f>IF(J382="","",IFERROR(INDEX(Products!$E$5:$E$89,MATCH(J382,Products!$A$5:$A$89,0)),0))</f>
        <v/>
      </c>
      <c r="N382" s="11" t="str">
        <f>IF(L382="","",IFERROR(VLOOKUP(L382,'Discount Slabs'!$A$5:$B$9,2,TRUE()),0))</f>
        <v/>
      </c>
      <c r="O382" s="12"/>
      <c r="P382" s="10" t="str">
        <f t="shared" si="30"/>
        <v/>
      </c>
      <c r="Q382" s="10" t="str">
        <f t="shared" si="31"/>
        <v/>
      </c>
      <c r="R382" s="13"/>
      <c r="S382" s="10" t="str">
        <f t="shared" si="32"/>
        <v/>
      </c>
      <c r="T382" s="8"/>
      <c r="U382" s="7"/>
      <c r="V382" s="13"/>
      <c r="W382" s="9" t="str">
        <f t="shared" si="33"/>
        <v/>
      </c>
      <c r="X382" s="10" t="str">
        <f t="shared" si="34"/>
        <v/>
      </c>
      <c r="Y382" s="8"/>
      <c r="Z382" s="7"/>
      <c r="AA382" s="7"/>
      <c r="AB382" s="7"/>
      <c r="AC382" t="str">
        <f t="shared" si="35"/>
        <v/>
      </c>
    </row>
    <row r="383" spans="1:29" x14ac:dyDescent="0.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9" t="str">
        <f>IF(J383="","",IFERROR(INDEX(Products!$B$5:$B$89,MATCH(J383,Products!$A$5:$A$89,0)),"Check ID"))</f>
        <v/>
      </c>
      <c r="L383" s="7"/>
      <c r="M383" s="10" t="str">
        <f>IF(J383="","",IFERROR(INDEX(Products!$E$5:$E$89,MATCH(J383,Products!$A$5:$A$89,0)),0))</f>
        <v/>
      </c>
      <c r="N383" s="11" t="str">
        <f>IF(L383="","",IFERROR(VLOOKUP(L383,'Discount Slabs'!$A$5:$B$9,2,TRUE()),0))</f>
        <v/>
      </c>
      <c r="O383" s="12"/>
      <c r="P383" s="10" t="str">
        <f t="shared" si="30"/>
        <v/>
      </c>
      <c r="Q383" s="10" t="str">
        <f t="shared" si="31"/>
        <v/>
      </c>
      <c r="R383" s="13"/>
      <c r="S383" s="10" t="str">
        <f t="shared" si="32"/>
        <v/>
      </c>
      <c r="T383" s="8"/>
      <c r="U383" s="7"/>
      <c r="V383" s="13"/>
      <c r="W383" s="9" t="str">
        <f t="shared" si="33"/>
        <v/>
      </c>
      <c r="X383" s="10" t="str">
        <f t="shared" si="34"/>
        <v/>
      </c>
      <c r="Y383" s="8"/>
      <c r="Z383" s="7"/>
      <c r="AA383" s="7"/>
      <c r="AB383" s="7"/>
      <c r="AC383" t="str">
        <f t="shared" si="35"/>
        <v/>
      </c>
    </row>
    <row r="384" spans="1:29" x14ac:dyDescent="0.3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9" t="str">
        <f>IF(J384="","",IFERROR(INDEX(Products!$B$5:$B$89,MATCH(J384,Products!$A$5:$A$89,0)),"Check ID"))</f>
        <v/>
      </c>
      <c r="L384" s="7"/>
      <c r="M384" s="10" t="str">
        <f>IF(J384="","",IFERROR(INDEX(Products!$E$5:$E$89,MATCH(J384,Products!$A$5:$A$89,0)),0))</f>
        <v/>
      </c>
      <c r="N384" s="11" t="str">
        <f>IF(L384="","",IFERROR(VLOOKUP(L384,'Discount Slabs'!$A$5:$B$9,2,TRUE()),0))</f>
        <v/>
      </c>
      <c r="O384" s="12"/>
      <c r="P384" s="10" t="str">
        <f t="shared" si="30"/>
        <v/>
      </c>
      <c r="Q384" s="10" t="str">
        <f t="shared" si="31"/>
        <v/>
      </c>
      <c r="R384" s="13"/>
      <c r="S384" s="10" t="str">
        <f t="shared" si="32"/>
        <v/>
      </c>
      <c r="T384" s="8"/>
      <c r="U384" s="7"/>
      <c r="V384" s="13"/>
      <c r="W384" s="9" t="str">
        <f t="shared" si="33"/>
        <v/>
      </c>
      <c r="X384" s="10" t="str">
        <f t="shared" si="34"/>
        <v/>
      </c>
      <c r="Y384" s="8"/>
      <c r="Z384" s="7"/>
      <c r="AA384" s="7"/>
      <c r="AB384" s="7"/>
      <c r="AC384" t="str">
        <f t="shared" si="35"/>
        <v/>
      </c>
    </row>
    <row r="385" spans="1:29" x14ac:dyDescent="0.3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9" t="str">
        <f>IF(J385="","",IFERROR(INDEX(Products!$B$5:$B$89,MATCH(J385,Products!$A$5:$A$89,0)),"Check ID"))</f>
        <v/>
      </c>
      <c r="L385" s="7"/>
      <c r="M385" s="10" t="str">
        <f>IF(J385="","",IFERROR(INDEX(Products!$E$5:$E$89,MATCH(J385,Products!$A$5:$A$89,0)),0))</f>
        <v/>
      </c>
      <c r="N385" s="11" t="str">
        <f>IF(L385="","",IFERROR(VLOOKUP(L385,'Discount Slabs'!$A$5:$B$9,2,TRUE()),0))</f>
        <v/>
      </c>
      <c r="O385" s="12"/>
      <c r="P385" s="10" t="str">
        <f t="shared" si="30"/>
        <v/>
      </c>
      <c r="Q385" s="10" t="str">
        <f t="shared" si="31"/>
        <v/>
      </c>
      <c r="R385" s="13"/>
      <c r="S385" s="10" t="str">
        <f t="shared" si="32"/>
        <v/>
      </c>
      <c r="T385" s="8"/>
      <c r="U385" s="7"/>
      <c r="V385" s="13"/>
      <c r="W385" s="9" t="str">
        <f t="shared" si="33"/>
        <v/>
      </c>
      <c r="X385" s="10" t="str">
        <f t="shared" si="34"/>
        <v/>
      </c>
      <c r="Y385" s="8"/>
      <c r="Z385" s="7"/>
      <c r="AA385" s="7"/>
      <c r="AB385" s="7"/>
      <c r="AC385" t="str">
        <f t="shared" si="35"/>
        <v/>
      </c>
    </row>
    <row r="386" spans="1:29" x14ac:dyDescent="0.3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9" t="str">
        <f>IF(J386="","",IFERROR(INDEX(Products!$B$5:$B$89,MATCH(J386,Products!$A$5:$A$89,0)),"Check ID"))</f>
        <v/>
      </c>
      <c r="L386" s="7"/>
      <c r="M386" s="10" t="str">
        <f>IF(J386="","",IFERROR(INDEX(Products!$E$5:$E$89,MATCH(J386,Products!$A$5:$A$89,0)),0))</f>
        <v/>
      </c>
      <c r="N386" s="11" t="str">
        <f>IF(L386="","",IFERROR(VLOOKUP(L386,'Discount Slabs'!$A$5:$B$9,2,TRUE()),0))</f>
        <v/>
      </c>
      <c r="O386" s="12"/>
      <c r="P386" s="10" t="str">
        <f t="shared" si="30"/>
        <v/>
      </c>
      <c r="Q386" s="10" t="str">
        <f t="shared" si="31"/>
        <v/>
      </c>
      <c r="R386" s="13"/>
      <c r="S386" s="10" t="str">
        <f t="shared" si="32"/>
        <v/>
      </c>
      <c r="T386" s="8"/>
      <c r="U386" s="7"/>
      <c r="V386" s="13"/>
      <c r="W386" s="9" t="str">
        <f t="shared" si="33"/>
        <v/>
      </c>
      <c r="X386" s="10" t="str">
        <f t="shared" si="34"/>
        <v/>
      </c>
      <c r="Y386" s="8"/>
      <c r="Z386" s="7"/>
      <c r="AA386" s="7"/>
      <c r="AB386" s="7"/>
      <c r="AC386" t="str">
        <f t="shared" si="35"/>
        <v/>
      </c>
    </row>
    <row r="387" spans="1:29" x14ac:dyDescent="0.3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9" t="str">
        <f>IF(J387="","",IFERROR(INDEX(Products!$B$5:$B$89,MATCH(J387,Products!$A$5:$A$89,0)),"Check ID"))</f>
        <v/>
      </c>
      <c r="L387" s="7"/>
      <c r="M387" s="10" t="str">
        <f>IF(J387="","",IFERROR(INDEX(Products!$E$5:$E$89,MATCH(J387,Products!$A$5:$A$89,0)),0))</f>
        <v/>
      </c>
      <c r="N387" s="11" t="str">
        <f>IF(L387="","",IFERROR(VLOOKUP(L387,'Discount Slabs'!$A$5:$B$9,2,TRUE()),0))</f>
        <v/>
      </c>
      <c r="O387" s="12"/>
      <c r="P387" s="10" t="str">
        <f t="shared" si="30"/>
        <v/>
      </c>
      <c r="Q387" s="10" t="str">
        <f t="shared" si="31"/>
        <v/>
      </c>
      <c r="R387" s="13"/>
      <c r="S387" s="10" t="str">
        <f t="shared" si="32"/>
        <v/>
      </c>
      <c r="T387" s="8"/>
      <c r="U387" s="7"/>
      <c r="V387" s="13"/>
      <c r="W387" s="9" t="str">
        <f t="shared" si="33"/>
        <v/>
      </c>
      <c r="X387" s="10" t="str">
        <f t="shared" si="34"/>
        <v/>
      </c>
      <c r="Y387" s="8"/>
      <c r="Z387" s="7"/>
      <c r="AA387" s="7"/>
      <c r="AB387" s="7"/>
      <c r="AC387" t="str">
        <f t="shared" si="35"/>
        <v/>
      </c>
    </row>
    <row r="388" spans="1:29" x14ac:dyDescent="0.3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9" t="str">
        <f>IF(J388="","",IFERROR(INDEX(Products!$B$5:$B$89,MATCH(J388,Products!$A$5:$A$89,0)),"Check ID"))</f>
        <v/>
      </c>
      <c r="L388" s="7"/>
      <c r="M388" s="10" t="str">
        <f>IF(J388="","",IFERROR(INDEX(Products!$E$5:$E$89,MATCH(J388,Products!$A$5:$A$89,0)),0))</f>
        <v/>
      </c>
      <c r="N388" s="11" t="str">
        <f>IF(L388="","",IFERROR(VLOOKUP(L388,'Discount Slabs'!$A$5:$B$9,2,TRUE()),0))</f>
        <v/>
      </c>
      <c r="O388" s="12"/>
      <c r="P388" s="10" t="str">
        <f t="shared" si="30"/>
        <v/>
      </c>
      <c r="Q388" s="10" t="str">
        <f t="shared" si="31"/>
        <v/>
      </c>
      <c r="R388" s="13"/>
      <c r="S388" s="10" t="str">
        <f t="shared" si="32"/>
        <v/>
      </c>
      <c r="T388" s="8"/>
      <c r="U388" s="7"/>
      <c r="V388" s="13"/>
      <c r="W388" s="9" t="str">
        <f t="shared" si="33"/>
        <v/>
      </c>
      <c r="X388" s="10" t="str">
        <f t="shared" si="34"/>
        <v/>
      </c>
      <c r="Y388" s="8"/>
      <c r="Z388" s="7"/>
      <c r="AA388" s="7"/>
      <c r="AB388" s="7"/>
      <c r="AC388" t="str">
        <f t="shared" si="35"/>
        <v/>
      </c>
    </row>
    <row r="389" spans="1:29" x14ac:dyDescent="0.3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9" t="str">
        <f>IF(J389="","",IFERROR(INDEX(Products!$B$5:$B$89,MATCH(J389,Products!$A$5:$A$89,0)),"Check ID"))</f>
        <v/>
      </c>
      <c r="L389" s="7"/>
      <c r="M389" s="10" t="str">
        <f>IF(J389="","",IFERROR(INDEX(Products!$E$5:$E$89,MATCH(J389,Products!$A$5:$A$89,0)),0))</f>
        <v/>
      </c>
      <c r="N389" s="11" t="str">
        <f>IF(L389="","",IFERROR(VLOOKUP(L389,'Discount Slabs'!$A$5:$B$9,2,TRUE()),0))</f>
        <v/>
      </c>
      <c r="O389" s="12"/>
      <c r="P389" s="10" t="str">
        <f t="shared" ref="P389:P452" si="36">IF(OR(J389="",L389=""),"",ROUND(M389*(1-N389-N(O389)),0))</f>
        <v/>
      </c>
      <c r="Q389" s="10" t="str">
        <f t="shared" ref="Q389:Q452" si="37">IF(P389="","",P389*L389)</f>
        <v/>
      </c>
      <c r="R389" s="13"/>
      <c r="S389" s="10" t="str">
        <f t="shared" ref="S389:S452" si="38">IF(Q389="","",Q389+N(R389))</f>
        <v/>
      </c>
      <c r="T389" s="8"/>
      <c r="U389" s="7"/>
      <c r="V389" s="13"/>
      <c r="W389" s="9" t="str">
        <f t="shared" ref="W389:W452" si="39">IF(OR(U389="Advance received",U389="In production",U389="Dispatched",U389="Delivered"),"Won","")</f>
        <v/>
      </c>
      <c r="X389" s="10" t="str">
        <f t="shared" ref="X389:X452" si="40">IF(S389="","",S389-N(V389))</f>
        <v/>
      </c>
      <c r="Y389" s="8"/>
      <c r="Z389" s="7"/>
      <c r="AA389" s="7"/>
      <c r="AB389" s="7"/>
      <c r="AC389" t="str">
        <f t="shared" ref="AC389:AC452" si="41">IF(P389="","",L389*M389)</f>
        <v/>
      </c>
    </row>
    <row r="390" spans="1:29" x14ac:dyDescent="0.3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9" t="str">
        <f>IF(J390="","",IFERROR(INDEX(Products!$B$5:$B$89,MATCH(J390,Products!$A$5:$A$89,0)),"Check ID"))</f>
        <v/>
      </c>
      <c r="L390" s="7"/>
      <c r="M390" s="10" t="str">
        <f>IF(J390="","",IFERROR(INDEX(Products!$E$5:$E$89,MATCH(J390,Products!$A$5:$A$89,0)),0))</f>
        <v/>
      </c>
      <c r="N390" s="11" t="str">
        <f>IF(L390="","",IFERROR(VLOOKUP(L390,'Discount Slabs'!$A$5:$B$9,2,TRUE()),0))</f>
        <v/>
      </c>
      <c r="O390" s="12"/>
      <c r="P390" s="10" t="str">
        <f t="shared" si="36"/>
        <v/>
      </c>
      <c r="Q390" s="10" t="str">
        <f t="shared" si="37"/>
        <v/>
      </c>
      <c r="R390" s="13"/>
      <c r="S390" s="10" t="str">
        <f t="shared" si="38"/>
        <v/>
      </c>
      <c r="T390" s="8"/>
      <c r="U390" s="7"/>
      <c r="V390" s="13"/>
      <c r="W390" s="9" t="str">
        <f t="shared" si="39"/>
        <v/>
      </c>
      <c r="X390" s="10" t="str">
        <f t="shared" si="40"/>
        <v/>
      </c>
      <c r="Y390" s="8"/>
      <c r="Z390" s="7"/>
      <c r="AA390" s="7"/>
      <c r="AB390" s="7"/>
      <c r="AC390" t="str">
        <f t="shared" si="41"/>
        <v/>
      </c>
    </row>
    <row r="391" spans="1:29" x14ac:dyDescent="0.3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9" t="str">
        <f>IF(J391="","",IFERROR(INDEX(Products!$B$5:$B$89,MATCH(J391,Products!$A$5:$A$89,0)),"Check ID"))</f>
        <v/>
      </c>
      <c r="L391" s="7"/>
      <c r="M391" s="10" t="str">
        <f>IF(J391="","",IFERROR(INDEX(Products!$E$5:$E$89,MATCH(J391,Products!$A$5:$A$89,0)),0))</f>
        <v/>
      </c>
      <c r="N391" s="11" t="str">
        <f>IF(L391="","",IFERROR(VLOOKUP(L391,'Discount Slabs'!$A$5:$B$9,2,TRUE()),0))</f>
        <v/>
      </c>
      <c r="O391" s="12"/>
      <c r="P391" s="10" t="str">
        <f t="shared" si="36"/>
        <v/>
      </c>
      <c r="Q391" s="10" t="str">
        <f t="shared" si="37"/>
        <v/>
      </c>
      <c r="R391" s="13"/>
      <c r="S391" s="10" t="str">
        <f t="shared" si="38"/>
        <v/>
      </c>
      <c r="T391" s="8"/>
      <c r="U391" s="7"/>
      <c r="V391" s="13"/>
      <c r="W391" s="9" t="str">
        <f t="shared" si="39"/>
        <v/>
      </c>
      <c r="X391" s="10" t="str">
        <f t="shared" si="40"/>
        <v/>
      </c>
      <c r="Y391" s="8"/>
      <c r="Z391" s="7"/>
      <c r="AA391" s="7"/>
      <c r="AB391" s="7"/>
      <c r="AC391" t="str">
        <f t="shared" si="41"/>
        <v/>
      </c>
    </row>
    <row r="392" spans="1:29" x14ac:dyDescent="0.3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9" t="str">
        <f>IF(J392="","",IFERROR(INDEX(Products!$B$5:$B$89,MATCH(J392,Products!$A$5:$A$89,0)),"Check ID"))</f>
        <v/>
      </c>
      <c r="L392" s="7"/>
      <c r="M392" s="10" t="str">
        <f>IF(J392="","",IFERROR(INDEX(Products!$E$5:$E$89,MATCH(J392,Products!$A$5:$A$89,0)),0))</f>
        <v/>
      </c>
      <c r="N392" s="11" t="str">
        <f>IF(L392="","",IFERROR(VLOOKUP(L392,'Discount Slabs'!$A$5:$B$9,2,TRUE()),0))</f>
        <v/>
      </c>
      <c r="O392" s="12"/>
      <c r="P392" s="10" t="str">
        <f t="shared" si="36"/>
        <v/>
      </c>
      <c r="Q392" s="10" t="str">
        <f t="shared" si="37"/>
        <v/>
      </c>
      <c r="R392" s="13"/>
      <c r="S392" s="10" t="str">
        <f t="shared" si="38"/>
        <v/>
      </c>
      <c r="T392" s="8"/>
      <c r="U392" s="7"/>
      <c r="V392" s="13"/>
      <c r="W392" s="9" t="str">
        <f t="shared" si="39"/>
        <v/>
      </c>
      <c r="X392" s="10" t="str">
        <f t="shared" si="40"/>
        <v/>
      </c>
      <c r="Y392" s="8"/>
      <c r="Z392" s="7"/>
      <c r="AA392" s="7"/>
      <c r="AB392" s="7"/>
      <c r="AC392" t="str">
        <f t="shared" si="41"/>
        <v/>
      </c>
    </row>
    <row r="393" spans="1:29" x14ac:dyDescent="0.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9" t="str">
        <f>IF(J393="","",IFERROR(INDEX(Products!$B$5:$B$89,MATCH(J393,Products!$A$5:$A$89,0)),"Check ID"))</f>
        <v/>
      </c>
      <c r="L393" s="7"/>
      <c r="M393" s="10" t="str">
        <f>IF(J393="","",IFERROR(INDEX(Products!$E$5:$E$89,MATCH(J393,Products!$A$5:$A$89,0)),0))</f>
        <v/>
      </c>
      <c r="N393" s="11" t="str">
        <f>IF(L393="","",IFERROR(VLOOKUP(L393,'Discount Slabs'!$A$5:$B$9,2,TRUE()),0))</f>
        <v/>
      </c>
      <c r="O393" s="12"/>
      <c r="P393" s="10" t="str">
        <f t="shared" si="36"/>
        <v/>
      </c>
      <c r="Q393" s="10" t="str">
        <f t="shared" si="37"/>
        <v/>
      </c>
      <c r="R393" s="13"/>
      <c r="S393" s="10" t="str">
        <f t="shared" si="38"/>
        <v/>
      </c>
      <c r="T393" s="8"/>
      <c r="U393" s="7"/>
      <c r="V393" s="13"/>
      <c r="W393" s="9" t="str">
        <f t="shared" si="39"/>
        <v/>
      </c>
      <c r="X393" s="10" t="str">
        <f t="shared" si="40"/>
        <v/>
      </c>
      <c r="Y393" s="8"/>
      <c r="Z393" s="7"/>
      <c r="AA393" s="7"/>
      <c r="AB393" s="7"/>
      <c r="AC393" t="str">
        <f t="shared" si="41"/>
        <v/>
      </c>
    </row>
    <row r="394" spans="1:29" x14ac:dyDescent="0.3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9" t="str">
        <f>IF(J394="","",IFERROR(INDEX(Products!$B$5:$B$89,MATCH(J394,Products!$A$5:$A$89,0)),"Check ID"))</f>
        <v/>
      </c>
      <c r="L394" s="7"/>
      <c r="M394" s="10" t="str">
        <f>IF(J394="","",IFERROR(INDEX(Products!$E$5:$E$89,MATCH(J394,Products!$A$5:$A$89,0)),0))</f>
        <v/>
      </c>
      <c r="N394" s="11" t="str">
        <f>IF(L394="","",IFERROR(VLOOKUP(L394,'Discount Slabs'!$A$5:$B$9,2,TRUE()),0))</f>
        <v/>
      </c>
      <c r="O394" s="12"/>
      <c r="P394" s="10" t="str">
        <f t="shared" si="36"/>
        <v/>
      </c>
      <c r="Q394" s="10" t="str">
        <f t="shared" si="37"/>
        <v/>
      </c>
      <c r="R394" s="13"/>
      <c r="S394" s="10" t="str">
        <f t="shared" si="38"/>
        <v/>
      </c>
      <c r="T394" s="8"/>
      <c r="U394" s="7"/>
      <c r="V394" s="13"/>
      <c r="W394" s="9" t="str">
        <f t="shared" si="39"/>
        <v/>
      </c>
      <c r="X394" s="10" t="str">
        <f t="shared" si="40"/>
        <v/>
      </c>
      <c r="Y394" s="8"/>
      <c r="Z394" s="7"/>
      <c r="AA394" s="7"/>
      <c r="AB394" s="7"/>
      <c r="AC394" t="str">
        <f t="shared" si="41"/>
        <v/>
      </c>
    </row>
    <row r="395" spans="1:29" x14ac:dyDescent="0.3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9" t="str">
        <f>IF(J395="","",IFERROR(INDEX(Products!$B$5:$B$89,MATCH(J395,Products!$A$5:$A$89,0)),"Check ID"))</f>
        <v/>
      </c>
      <c r="L395" s="7"/>
      <c r="M395" s="10" t="str">
        <f>IF(J395="","",IFERROR(INDEX(Products!$E$5:$E$89,MATCH(J395,Products!$A$5:$A$89,0)),0))</f>
        <v/>
      </c>
      <c r="N395" s="11" t="str">
        <f>IF(L395="","",IFERROR(VLOOKUP(L395,'Discount Slabs'!$A$5:$B$9,2,TRUE()),0))</f>
        <v/>
      </c>
      <c r="O395" s="12"/>
      <c r="P395" s="10" t="str">
        <f t="shared" si="36"/>
        <v/>
      </c>
      <c r="Q395" s="10" t="str">
        <f t="shared" si="37"/>
        <v/>
      </c>
      <c r="R395" s="13"/>
      <c r="S395" s="10" t="str">
        <f t="shared" si="38"/>
        <v/>
      </c>
      <c r="T395" s="8"/>
      <c r="U395" s="7"/>
      <c r="V395" s="13"/>
      <c r="W395" s="9" t="str">
        <f t="shared" si="39"/>
        <v/>
      </c>
      <c r="X395" s="10" t="str">
        <f t="shared" si="40"/>
        <v/>
      </c>
      <c r="Y395" s="8"/>
      <c r="Z395" s="7"/>
      <c r="AA395" s="7"/>
      <c r="AB395" s="7"/>
      <c r="AC395" t="str">
        <f t="shared" si="41"/>
        <v/>
      </c>
    </row>
    <row r="396" spans="1:29" x14ac:dyDescent="0.3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9" t="str">
        <f>IF(J396="","",IFERROR(INDEX(Products!$B$5:$B$89,MATCH(J396,Products!$A$5:$A$89,0)),"Check ID"))</f>
        <v/>
      </c>
      <c r="L396" s="7"/>
      <c r="M396" s="10" t="str">
        <f>IF(J396="","",IFERROR(INDEX(Products!$E$5:$E$89,MATCH(J396,Products!$A$5:$A$89,0)),0))</f>
        <v/>
      </c>
      <c r="N396" s="11" t="str">
        <f>IF(L396="","",IFERROR(VLOOKUP(L396,'Discount Slabs'!$A$5:$B$9,2,TRUE()),0))</f>
        <v/>
      </c>
      <c r="O396" s="12"/>
      <c r="P396" s="10" t="str">
        <f t="shared" si="36"/>
        <v/>
      </c>
      <c r="Q396" s="10" t="str">
        <f t="shared" si="37"/>
        <v/>
      </c>
      <c r="R396" s="13"/>
      <c r="S396" s="10" t="str">
        <f t="shared" si="38"/>
        <v/>
      </c>
      <c r="T396" s="8"/>
      <c r="U396" s="7"/>
      <c r="V396" s="13"/>
      <c r="W396" s="9" t="str">
        <f t="shared" si="39"/>
        <v/>
      </c>
      <c r="X396" s="10" t="str">
        <f t="shared" si="40"/>
        <v/>
      </c>
      <c r="Y396" s="8"/>
      <c r="Z396" s="7"/>
      <c r="AA396" s="7"/>
      <c r="AB396" s="7"/>
      <c r="AC396" t="str">
        <f t="shared" si="41"/>
        <v/>
      </c>
    </row>
    <row r="397" spans="1:29" x14ac:dyDescent="0.3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9" t="str">
        <f>IF(J397="","",IFERROR(INDEX(Products!$B$5:$B$89,MATCH(J397,Products!$A$5:$A$89,0)),"Check ID"))</f>
        <v/>
      </c>
      <c r="L397" s="7"/>
      <c r="M397" s="10" t="str">
        <f>IF(J397="","",IFERROR(INDEX(Products!$E$5:$E$89,MATCH(J397,Products!$A$5:$A$89,0)),0))</f>
        <v/>
      </c>
      <c r="N397" s="11" t="str">
        <f>IF(L397="","",IFERROR(VLOOKUP(L397,'Discount Slabs'!$A$5:$B$9,2,TRUE()),0))</f>
        <v/>
      </c>
      <c r="O397" s="12"/>
      <c r="P397" s="10" t="str">
        <f t="shared" si="36"/>
        <v/>
      </c>
      <c r="Q397" s="10" t="str">
        <f t="shared" si="37"/>
        <v/>
      </c>
      <c r="R397" s="13"/>
      <c r="S397" s="10" t="str">
        <f t="shared" si="38"/>
        <v/>
      </c>
      <c r="T397" s="8"/>
      <c r="U397" s="7"/>
      <c r="V397" s="13"/>
      <c r="W397" s="9" t="str">
        <f t="shared" si="39"/>
        <v/>
      </c>
      <c r="X397" s="10" t="str">
        <f t="shared" si="40"/>
        <v/>
      </c>
      <c r="Y397" s="8"/>
      <c r="Z397" s="7"/>
      <c r="AA397" s="7"/>
      <c r="AB397" s="7"/>
      <c r="AC397" t="str">
        <f t="shared" si="41"/>
        <v/>
      </c>
    </row>
    <row r="398" spans="1:29" x14ac:dyDescent="0.3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9" t="str">
        <f>IF(J398="","",IFERROR(INDEX(Products!$B$5:$B$89,MATCH(J398,Products!$A$5:$A$89,0)),"Check ID"))</f>
        <v/>
      </c>
      <c r="L398" s="7"/>
      <c r="M398" s="10" t="str">
        <f>IF(J398="","",IFERROR(INDEX(Products!$E$5:$E$89,MATCH(J398,Products!$A$5:$A$89,0)),0))</f>
        <v/>
      </c>
      <c r="N398" s="11" t="str">
        <f>IF(L398="","",IFERROR(VLOOKUP(L398,'Discount Slabs'!$A$5:$B$9,2,TRUE()),0))</f>
        <v/>
      </c>
      <c r="O398" s="12"/>
      <c r="P398" s="10" t="str">
        <f t="shared" si="36"/>
        <v/>
      </c>
      <c r="Q398" s="10" t="str">
        <f t="shared" si="37"/>
        <v/>
      </c>
      <c r="R398" s="13"/>
      <c r="S398" s="10" t="str">
        <f t="shared" si="38"/>
        <v/>
      </c>
      <c r="T398" s="8"/>
      <c r="U398" s="7"/>
      <c r="V398" s="13"/>
      <c r="W398" s="9" t="str">
        <f t="shared" si="39"/>
        <v/>
      </c>
      <c r="X398" s="10" t="str">
        <f t="shared" si="40"/>
        <v/>
      </c>
      <c r="Y398" s="8"/>
      <c r="Z398" s="7"/>
      <c r="AA398" s="7"/>
      <c r="AB398" s="7"/>
      <c r="AC398" t="str">
        <f t="shared" si="41"/>
        <v/>
      </c>
    </row>
    <row r="399" spans="1:29" x14ac:dyDescent="0.3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9" t="str">
        <f>IF(J399="","",IFERROR(INDEX(Products!$B$5:$B$89,MATCH(J399,Products!$A$5:$A$89,0)),"Check ID"))</f>
        <v/>
      </c>
      <c r="L399" s="7"/>
      <c r="M399" s="10" t="str">
        <f>IF(J399="","",IFERROR(INDEX(Products!$E$5:$E$89,MATCH(J399,Products!$A$5:$A$89,0)),0))</f>
        <v/>
      </c>
      <c r="N399" s="11" t="str">
        <f>IF(L399="","",IFERROR(VLOOKUP(L399,'Discount Slabs'!$A$5:$B$9,2,TRUE()),0))</f>
        <v/>
      </c>
      <c r="O399" s="12"/>
      <c r="P399" s="10" t="str">
        <f t="shared" si="36"/>
        <v/>
      </c>
      <c r="Q399" s="10" t="str">
        <f t="shared" si="37"/>
        <v/>
      </c>
      <c r="R399" s="13"/>
      <c r="S399" s="10" t="str">
        <f t="shared" si="38"/>
        <v/>
      </c>
      <c r="T399" s="8"/>
      <c r="U399" s="7"/>
      <c r="V399" s="13"/>
      <c r="W399" s="9" t="str">
        <f t="shared" si="39"/>
        <v/>
      </c>
      <c r="X399" s="10" t="str">
        <f t="shared" si="40"/>
        <v/>
      </c>
      <c r="Y399" s="8"/>
      <c r="Z399" s="7"/>
      <c r="AA399" s="7"/>
      <c r="AB399" s="7"/>
      <c r="AC399" t="str">
        <f t="shared" si="41"/>
        <v/>
      </c>
    </row>
    <row r="400" spans="1:29" x14ac:dyDescent="0.3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9" t="str">
        <f>IF(J400="","",IFERROR(INDEX(Products!$B$5:$B$89,MATCH(J400,Products!$A$5:$A$89,0)),"Check ID"))</f>
        <v/>
      </c>
      <c r="L400" s="7"/>
      <c r="M400" s="10" t="str">
        <f>IF(J400="","",IFERROR(INDEX(Products!$E$5:$E$89,MATCH(J400,Products!$A$5:$A$89,0)),0))</f>
        <v/>
      </c>
      <c r="N400" s="11" t="str">
        <f>IF(L400="","",IFERROR(VLOOKUP(L400,'Discount Slabs'!$A$5:$B$9,2,TRUE()),0))</f>
        <v/>
      </c>
      <c r="O400" s="12"/>
      <c r="P400" s="10" t="str">
        <f t="shared" si="36"/>
        <v/>
      </c>
      <c r="Q400" s="10" t="str">
        <f t="shared" si="37"/>
        <v/>
      </c>
      <c r="R400" s="13"/>
      <c r="S400" s="10" t="str">
        <f t="shared" si="38"/>
        <v/>
      </c>
      <c r="T400" s="8"/>
      <c r="U400" s="7"/>
      <c r="V400" s="13"/>
      <c r="W400" s="9" t="str">
        <f t="shared" si="39"/>
        <v/>
      </c>
      <c r="X400" s="10" t="str">
        <f t="shared" si="40"/>
        <v/>
      </c>
      <c r="Y400" s="8"/>
      <c r="Z400" s="7"/>
      <c r="AA400" s="7"/>
      <c r="AB400" s="7"/>
      <c r="AC400" t="str">
        <f t="shared" si="41"/>
        <v/>
      </c>
    </row>
    <row r="401" spans="1:29" x14ac:dyDescent="0.3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9" t="str">
        <f>IF(J401="","",IFERROR(INDEX(Products!$B$5:$B$89,MATCH(J401,Products!$A$5:$A$89,0)),"Check ID"))</f>
        <v/>
      </c>
      <c r="L401" s="7"/>
      <c r="M401" s="10" t="str">
        <f>IF(J401="","",IFERROR(INDEX(Products!$E$5:$E$89,MATCH(J401,Products!$A$5:$A$89,0)),0))</f>
        <v/>
      </c>
      <c r="N401" s="11" t="str">
        <f>IF(L401="","",IFERROR(VLOOKUP(L401,'Discount Slabs'!$A$5:$B$9,2,TRUE()),0))</f>
        <v/>
      </c>
      <c r="O401" s="12"/>
      <c r="P401" s="10" t="str">
        <f t="shared" si="36"/>
        <v/>
      </c>
      <c r="Q401" s="10" t="str">
        <f t="shared" si="37"/>
        <v/>
      </c>
      <c r="R401" s="13"/>
      <c r="S401" s="10" t="str">
        <f t="shared" si="38"/>
        <v/>
      </c>
      <c r="T401" s="8"/>
      <c r="U401" s="7"/>
      <c r="V401" s="13"/>
      <c r="W401" s="9" t="str">
        <f t="shared" si="39"/>
        <v/>
      </c>
      <c r="X401" s="10" t="str">
        <f t="shared" si="40"/>
        <v/>
      </c>
      <c r="Y401" s="8"/>
      <c r="Z401" s="7"/>
      <c r="AA401" s="7"/>
      <c r="AB401" s="7"/>
      <c r="AC401" t="str">
        <f t="shared" si="41"/>
        <v/>
      </c>
    </row>
    <row r="402" spans="1:29" x14ac:dyDescent="0.3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9" t="str">
        <f>IF(J402="","",IFERROR(INDEX(Products!$B$5:$B$89,MATCH(J402,Products!$A$5:$A$89,0)),"Check ID"))</f>
        <v/>
      </c>
      <c r="L402" s="7"/>
      <c r="M402" s="10" t="str">
        <f>IF(J402="","",IFERROR(INDEX(Products!$E$5:$E$89,MATCH(J402,Products!$A$5:$A$89,0)),0))</f>
        <v/>
      </c>
      <c r="N402" s="11" t="str">
        <f>IF(L402="","",IFERROR(VLOOKUP(L402,'Discount Slabs'!$A$5:$B$9,2,TRUE()),0))</f>
        <v/>
      </c>
      <c r="O402" s="12"/>
      <c r="P402" s="10" t="str">
        <f t="shared" si="36"/>
        <v/>
      </c>
      <c r="Q402" s="10" t="str">
        <f t="shared" si="37"/>
        <v/>
      </c>
      <c r="R402" s="13"/>
      <c r="S402" s="10" t="str">
        <f t="shared" si="38"/>
        <v/>
      </c>
      <c r="T402" s="8"/>
      <c r="U402" s="7"/>
      <c r="V402" s="13"/>
      <c r="W402" s="9" t="str">
        <f t="shared" si="39"/>
        <v/>
      </c>
      <c r="X402" s="10" t="str">
        <f t="shared" si="40"/>
        <v/>
      </c>
      <c r="Y402" s="8"/>
      <c r="Z402" s="7"/>
      <c r="AA402" s="7"/>
      <c r="AB402" s="7"/>
      <c r="AC402" t="str">
        <f t="shared" si="41"/>
        <v/>
      </c>
    </row>
    <row r="403" spans="1:29" x14ac:dyDescent="0.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9" t="str">
        <f>IF(J403="","",IFERROR(INDEX(Products!$B$5:$B$89,MATCH(J403,Products!$A$5:$A$89,0)),"Check ID"))</f>
        <v/>
      </c>
      <c r="L403" s="7"/>
      <c r="M403" s="10" t="str">
        <f>IF(J403="","",IFERROR(INDEX(Products!$E$5:$E$89,MATCH(J403,Products!$A$5:$A$89,0)),0))</f>
        <v/>
      </c>
      <c r="N403" s="11" t="str">
        <f>IF(L403="","",IFERROR(VLOOKUP(L403,'Discount Slabs'!$A$5:$B$9,2,TRUE()),0))</f>
        <v/>
      </c>
      <c r="O403" s="12"/>
      <c r="P403" s="10" t="str">
        <f t="shared" si="36"/>
        <v/>
      </c>
      <c r="Q403" s="10" t="str">
        <f t="shared" si="37"/>
        <v/>
      </c>
      <c r="R403" s="13"/>
      <c r="S403" s="10" t="str">
        <f t="shared" si="38"/>
        <v/>
      </c>
      <c r="T403" s="8"/>
      <c r="U403" s="7"/>
      <c r="V403" s="13"/>
      <c r="W403" s="9" t="str">
        <f t="shared" si="39"/>
        <v/>
      </c>
      <c r="X403" s="10" t="str">
        <f t="shared" si="40"/>
        <v/>
      </c>
      <c r="Y403" s="8"/>
      <c r="Z403" s="7"/>
      <c r="AA403" s="7"/>
      <c r="AB403" s="7"/>
      <c r="AC403" t="str">
        <f t="shared" si="41"/>
        <v/>
      </c>
    </row>
    <row r="404" spans="1:29" x14ac:dyDescent="0.3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9" t="str">
        <f>IF(J404="","",IFERROR(INDEX(Products!$B$5:$B$89,MATCH(J404,Products!$A$5:$A$89,0)),"Check ID"))</f>
        <v/>
      </c>
      <c r="L404" s="7"/>
      <c r="M404" s="10" t="str">
        <f>IF(J404="","",IFERROR(INDEX(Products!$E$5:$E$89,MATCH(J404,Products!$A$5:$A$89,0)),0))</f>
        <v/>
      </c>
      <c r="N404" s="11" t="str">
        <f>IF(L404="","",IFERROR(VLOOKUP(L404,'Discount Slabs'!$A$5:$B$9,2,TRUE()),0))</f>
        <v/>
      </c>
      <c r="O404" s="12"/>
      <c r="P404" s="10" t="str">
        <f t="shared" si="36"/>
        <v/>
      </c>
      <c r="Q404" s="10" t="str">
        <f t="shared" si="37"/>
        <v/>
      </c>
      <c r="R404" s="13"/>
      <c r="S404" s="10" t="str">
        <f t="shared" si="38"/>
        <v/>
      </c>
      <c r="T404" s="8"/>
      <c r="U404" s="7"/>
      <c r="V404" s="13"/>
      <c r="W404" s="9" t="str">
        <f t="shared" si="39"/>
        <v/>
      </c>
      <c r="X404" s="10" t="str">
        <f t="shared" si="40"/>
        <v/>
      </c>
      <c r="Y404" s="8"/>
      <c r="Z404" s="7"/>
      <c r="AA404" s="7"/>
      <c r="AB404" s="7"/>
      <c r="AC404" t="str">
        <f t="shared" si="41"/>
        <v/>
      </c>
    </row>
    <row r="405" spans="1:29" x14ac:dyDescent="0.3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9" t="str">
        <f>IF(J405="","",IFERROR(INDEX(Products!$B$5:$B$89,MATCH(J405,Products!$A$5:$A$89,0)),"Check ID"))</f>
        <v/>
      </c>
      <c r="L405" s="7"/>
      <c r="M405" s="10" t="str">
        <f>IF(J405="","",IFERROR(INDEX(Products!$E$5:$E$89,MATCH(J405,Products!$A$5:$A$89,0)),0))</f>
        <v/>
      </c>
      <c r="N405" s="11" t="str">
        <f>IF(L405="","",IFERROR(VLOOKUP(L405,'Discount Slabs'!$A$5:$B$9,2,TRUE()),0))</f>
        <v/>
      </c>
      <c r="O405" s="12"/>
      <c r="P405" s="10" t="str">
        <f t="shared" si="36"/>
        <v/>
      </c>
      <c r="Q405" s="10" t="str">
        <f t="shared" si="37"/>
        <v/>
      </c>
      <c r="R405" s="13"/>
      <c r="S405" s="10" t="str">
        <f t="shared" si="38"/>
        <v/>
      </c>
      <c r="T405" s="8"/>
      <c r="U405" s="7"/>
      <c r="V405" s="13"/>
      <c r="W405" s="9" t="str">
        <f t="shared" si="39"/>
        <v/>
      </c>
      <c r="X405" s="10" t="str">
        <f t="shared" si="40"/>
        <v/>
      </c>
      <c r="Y405" s="8"/>
      <c r="Z405" s="7"/>
      <c r="AA405" s="7"/>
      <c r="AB405" s="7"/>
      <c r="AC405" t="str">
        <f t="shared" si="41"/>
        <v/>
      </c>
    </row>
    <row r="406" spans="1:29" x14ac:dyDescent="0.3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9" t="str">
        <f>IF(J406="","",IFERROR(INDEX(Products!$B$5:$B$89,MATCH(J406,Products!$A$5:$A$89,0)),"Check ID"))</f>
        <v/>
      </c>
      <c r="L406" s="7"/>
      <c r="M406" s="10" t="str">
        <f>IF(J406="","",IFERROR(INDEX(Products!$E$5:$E$89,MATCH(J406,Products!$A$5:$A$89,0)),0))</f>
        <v/>
      </c>
      <c r="N406" s="11" t="str">
        <f>IF(L406="","",IFERROR(VLOOKUP(L406,'Discount Slabs'!$A$5:$B$9,2,TRUE()),0))</f>
        <v/>
      </c>
      <c r="O406" s="12"/>
      <c r="P406" s="10" t="str">
        <f t="shared" si="36"/>
        <v/>
      </c>
      <c r="Q406" s="10" t="str">
        <f t="shared" si="37"/>
        <v/>
      </c>
      <c r="R406" s="13"/>
      <c r="S406" s="10" t="str">
        <f t="shared" si="38"/>
        <v/>
      </c>
      <c r="T406" s="8"/>
      <c r="U406" s="7"/>
      <c r="V406" s="13"/>
      <c r="W406" s="9" t="str">
        <f t="shared" si="39"/>
        <v/>
      </c>
      <c r="X406" s="10" t="str">
        <f t="shared" si="40"/>
        <v/>
      </c>
      <c r="Y406" s="8"/>
      <c r="Z406" s="7"/>
      <c r="AA406" s="7"/>
      <c r="AB406" s="7"/>
      <c r="AC406" t="str">
        <f t="shared" si="41"/>
        <v/>
      </c>
    </row>
    <row r="407" spans="1:29" x14ac:dyDescent="0.3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9" t="str">
        <f>IF(J407="","",IFERROR(INDEX(Products!$B$5:$B$89,MATCH(J407,Products!$A$5:$A$89,0)),"Check ID"))</f>
        <v/>
      </c>
      <c r="L407" s="7"/>
      <c r="M407" s="10" t="str">
        <f>IF(J407="","",IFERROR(INDEX(Products!$E$5:$E$89,MATCH(J407,Products!$A$5:$A$89,0)),0))</f>
        <v/>
      </c>
      <c r="N407" s="11" t="str">
        <f>IF(L407="","",IFERROR(VLOOKUP(L407,'Discount Slabs'!$A$5:$B$9,2,TRUE()),0))</f>
        <v/>
      </c>
      <c r="O407" s="12"/>
      <c r="P407" s="10" t="str">
        <f t="shared" si="36"/>
        <v/>
      </c>
      <c r="Q407" s="10" t="str">
        <f t="shared" si="37"/>
        <v/>
      </c>
      <c r="R407" s="13"/>
      <c r="S407" s="10" t="str">
        <f t="shared" si="38"/>
        <v/>
      </c>
      <c r="T407" s="8"/>
      <c r="U407" s="7"/>
      <c r="V407" s="13"/>
      <c r="W407" s="9" t="str">
        <f t="shared" si="39"/>
        <v/>
      </c>
      <c r="X407" s="10" t="str">
        <f t="shared" si="40"/>
        <v/>
      </c>
      <c r="Y407" s="8"/>
      <c r="Z407" s="7"/>
      <c r="AA407" s="7"/>
      <c r="AB407" s="7"/>
      <c r="AC407" t="str">
        <f t="shared" si="41"/>
        <v/>
      </c>
    </row>
    <row r="408" spans="1:29" x14ac:dyDescent="0.3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9" t="str">
        <f>IF(J408="","",IFERROR(INDEX(Products!$B$5:$B$89,MATCH(J408,Products!$A$5:$A$89,0)),"Check ID"))</f>
        <v/>
      </c>
      <c r="L408" s="7"/>
      <c r="M408" s="10" t="str">
        <f>IF(J408="","",IFERROR(INDEX(Products!$E$5:$E$89,MATCH(J408,Products!$A$5:$A$89,0)),0))</f>
        <v/>
      </c>
      <c r="N408" s="11" t="str">
        <f>IF(L408="","",IFERROR(VLOOKUP(L408,'Discount Slabs'!$A$5:$B$9,2,TRUE()),0))</f>
        <v/>
      </c>
      <c r="O408" s="12"/>
      <c r="P408" s="10" t="str">
        <f t="shared" si="36"/>
        <v/>
      </c>
      <c r="Q408" s="10" t="str">
        <f t="shared" si="37"/>
        <v/>
      </c>
      <c r="R408" s="13"/>
      <c r="S408" s="10" t="str">
        <f t="shared" si="38"/>
        <v/>
      </c>
      <c r="T408" s="8"/>
      <c r="U408" s="7"/>
      <c r="V408" s="13"/>
      <c r="W408" s="9" t="str">
        <f t="shared" si="39"/>
        <v/>
      </c>
      <c r="X408" s="10" t="str">
        <f t="shared" si="40"/>
        <v/>
      </c>
      <c r="Y408" s="8"/>
      <c r="Z408" s="7"/>
      <c r="AA408" s="7"/>
      <c r="AB408" s="7"/>
      <c r="AC408" t="str">
        <f t="shared" si="41"/>
        <v/>
      </c>
    </row>
    <row r="409" spans="1:29" x14ac:dyDescent="0.3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9" t="str">
        <f>IF(J409="","",IFERROR(INDEX(Products!$B$5:$B$89,MATCH(J409,Products!$A$5:$A$89,0)),"Check ID"))</f>
        <v/>
      </c>
      <c r="L409" s="7"/>
      <c r="M409" s="10" t="str">
        <f>IF(J409="","",IFERROR(INDEX(Products!$E$5:$E$89,MATCH(J409,Products!$A$5:$A$89,0)),0))</f>
        <v/>
      </c>
      <c r="N409" s="11" t="str">
        <f>IF(L409="","",IFERROR(VLOOKUP(L409,'Discount Slabs'!$A$5:$B$9,2,TRUE()),0))</f>
        <v/>
      </c>
      <c r="O409" s="12"/>
      <c r="P409" s="10" t="str">
        <f t="shared" si="36"/>
        <v/>
      </c>
      <c r="Q409" s="10" t="str">
        <f t="shared" si="37"/>
        <v/>
      </c>
      <c r="R409" s="13"/>
      <c r="S409" s="10" t="str">
        <f t="shared" si="38"/>
        <v/>
      </c>
      <c r="T409" s="8"/>
      <c r="U409" s="7"/>
      <c r="V409" s="13"/>
      <c r="W409" s="9" t="str">
        <f t="shared" si="39"/>
        <v/>
      </c>
      <c r="X409" s="10" t="str">
        <f t="shared" si="40"/>
        <v/>
      </c>
      <c r="Y409" s="8"/>
      <c r="Z409" s="7"/>
      <c r="AA409" s="7"/>
      <c r="AB409" s="7"/>
      <c r="AC409" t="str">
        <f t="shared" si="41"/>
        <v/>
      </c>
    </row>
    <row r="410" spans="1:29" x14ac:dyDescent="0.3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9" t="str">
        <f>IF(J410="","",IFERROR(INDEX(Products!$B$5:$B$89,MATCH(J410,Products!$A$5:$A$89,0)),"Check ID"))</f>
        <v/>
      </c>
      <c r="L410" s="7"/>
      <c r="M410" s="10" t="str">
        <f>IF(J410="","",IFERROR(INDEX(Products!$E$5:$E$89,MATCH(J410,Products!$A$5:$A$89,0)),0))</f>
        <v/>
      </c>
      <c r="N410" s="11" t="str">
        <f>IF(L410="","",IFERROR(VLOOKUP(L410,'Discount Slabs'!$A$5:$B$9,2,TRUE()),0))</f>
        <v/>
      </c>
      <c r="O410" s="12"/>
      <c r="P410" s="10" t="str">
        <f t="shared" si="36"/>
        <v/>
      </c>
      <c r="Q410" s="10" t="str">
        <f t="shared" si="37"/>
        <v/>
      </c>
      <c r="R410" s="13"/>
      <c r="S410" s="10" t="str">
        <f t="shared" si="38"/>
        <v/>
      </c>
      <c r="T410" s="8"/>
      <c r="U410" s="7"/>
      <c r="V410" s="13"/>
      <c r="W410" s="9" t="str">
        <f t="shared" si="39"/>
        <v/>
      </c>
      <c r="X410" s="10" t="str">
        <f t="shared" si="40"/>
        <v/>
      </c>
      <c r="Y410" s="8"/>
      <c r="Z410" s="7"/>
      <c r="AA410" s="7"/>
      <c r="AB410" s="7"/>
      <c r="AC410" t="str">
        <f t="shared" si="41"/>
        <v/>
      </c>
    </row>
    <row r="411" spans="1:29" x14ac:dyDescent="0.3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9" t="str">
        <f>IF(J411="","",IFERROR(INDEX(Products!$B$5:$B$89,MATCH(J411,Products!$A$5:$A$89,0)),"Check ID"))</f>
        <v/>
      </c>
      <c r="L411" s="7"/>
      <c r="M411" s="10" t="str">
        <f>IF(J411="","",IFERROR(INDEX(Products!$E$5:$E$89,MATCH(J411,Products!$A$5:$A$89,0)),0))</f>
        <v/>
      </c>
      <c r="N411" s="11" t="str">
        <f>IF(L411="","",IFERROR(VLOOKUP(L411,'Discount Slabs'!$A$5:$B$9,2,TRUE()),0))</f>
        <v/>
      </c>
      <c r="O411" s="12"/>
      <c r="P411" s="10" t="str">
        <f t="shared" si="36"/>
        <v/>
      </c>
      <c r="Q411" s="10" t="str">
        <f t="shared" si="37"/>
        <v/>
      </c>
      <c r="R411" s="13"/>
      <c r="S411" s="10" t="str">
        <f t="shared" si="38"/>
        <v/>
      </c>
      <c r="T411" s="8"/>
      <c r="U411" s="7"/>
      <c r="V411" s="13"/>
      <c r="W411" s="9" t="str">
        <f t="shared" si="39"/>
        <v/>
      </c>
      <c r="X411" s="10" t="str">
        <f t="shared" si="40"/>
        <v/>
      </c>
      <c r="Y411" s="8"/>
      <c r="Z411" s="7"/>
      <c r="AA411" s="7"/>
      <c r="AB411" s="7"/>
      <c r="AC411" t="str">
        <f t="shared" si="41"/>
        <v/>
      </c>
    </row>
    <row r="412" spans="1:29" x14ac:dyDescent="0.3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9" t="str">
        <f>IF(J412="","",IFERROR(INDEX(Products!$B$5:$B$89,MATCH(J412,Products!$A$5:$A$89,0)),"Check ID"))</f>
        <v/>
      </c>
      <c r="L412" s="7"/>
      <c r="M412" s="10" t="str">
        <f>IF(J412="","",IFERROR(INDEX(Products!$E$5:$E$89,MATCH(J412,Products!$A$5:$A$89,0)),0))</f>
        <v/>
      </c>
      <c r="N412" s="11" t="str">
        <f>IF(L412="","",IFERROR(VLOOKUP(L412,'Discount Slabs'!$A$5:$B$9,2,TRUE()),0))</f>
        <v/>
      </c>
      <c r="O412" s="12"/>
      <c r="P412" s="10" t="str">
        <f t="shared" si="36"/>
        <v/>
      </c>
      <c r="Q412" s="10" t="str">
        <f t="shared" si="37"/>
        <v/>
      </c>
      <c r="R412" s="13"/>
      <c r="S412" s="10" t="str">
        <f t="shared" si="38"/>
        <v/>
      </c>
      <c r="T412" s="8"/>
      <c r="U412" s="7"/>
      <c r="V412" s="13"/>
      <c r="W412" s="9" t="str">
        <f t="shared" si="39"/>
        <v/>
      </c>
      <c r="X412" s="10" t="str">
        <f t="shared" si="40"/>
        <v/>
      </c>
      <c r="Y412" s="8"/>
      <c r="Z412" s="7"/>
      <c r="AA412" s="7"/>
      <c r="AB412" s="7"/>
      <c r="AC412" t="str">
        <f t="shared" si="41"/>
        <v/>
      </c>
    </row>
    <row r="413" spans="1:29" x14ac:dyDescent="0.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9" t="str">
        <f>IF(J413="","",IFERROR(INDEX(Products!$B$5:$B$89,MATCH(J413,Products!$A$5:$A$89,0)),"Check ID"))</f>
        <v/>
      </c>
      <c r="L413" s="7"/>
      <c r="M413" s="10" t="str">
        <f>IF(J413="","",IFERROR(INDEX(Products!$E$5:$E$89,MATCH(J413,Products!$A$5:$A$89,0)),0))</f>
        <v/>
      </c>
      <c r="N413" s="11" t="str">
        <f>IF(L413="","",IFERROR(VLOOKUP(L413,'Discount Slabs'!$A$5:$B$9,2,TRUE()),0))</f>
        <v/>
      </c>
      <c r="O413" s="12"/>
      <c r="P413" s="10" t="str">
        <f t="shared" si="36"/>
        <v/>
      </c>
      <c r="Q413" s="10" t="str">
        <f t="shared" si="37"/>
        <v/>
      </c>
      <c r="R413" s="13"/>
      <c r="S413" s="10" t="str">
        <f t="shared" si="38"/>
        <v/>
      </c>
      <c r="T413" s="8"/>
      <c r="U413" s="7"/>
      <c r="V413" s="13"/>
      <c r="W413" s="9" t="str">
        <f t="shared" si="39"/>
        <v/>
      </c>
      <c r="X413" s="10" t="str">
        <f t="shared" si="40"/>
        <v/>
      </c>
      <c r="Y413" s="8"/>
      <c r="Z413" s="7"/>
      <c r="AA413" s="7"/>
      <c r="AB413" s="7"/>
      <c r="AC413" t="str">
        <f t="shared" si="41"/>
        <v/>
      </c>
    </row>
    <row r="414" spans="1:29" x14ac:dyDescent="0.3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9" t="str">
        <f>IF(J414="","",IFERROR(INDEX(Products!$B$5:$B$89,MATCH(J414,Products!$A$5:$A$89,0)),"Check ID"))</f>
        <v/>
      </c>
      <c r="L414" s="7"/>
      <c r="M414" s="10" t="str">
        <f>IF(J414="","",IFERROR(INDEX(Products!$E$5:$E$89,MATCH(J414,Products!$A$5:$A$89,0)),0))</f>
        <v/>
      </c>
      <c r="N414" s="11" t="str">
        <f>IF(L414="","",IFERROR(VLOOKUP(L414,'Discount Slabs'!$A$5:$B$9,2,TRUE()),0))</f>
        <v/>
      </c>
      <c r="O414" s="12"/>
      <c r="P414" s="10" t="str">
        <f t="shared" si="36"/>
        <v/>
      </c>
      <c r="Q414" s="10" t="str">
        <f t="shared" si="37"/>
        <v/>
      </c>
      <c r="R414" s="13"/>
      <c r="S414" s="10" t="str">
        <f t="shared" si="38"/>
        <v/>
      </c>
      <c r="T414" s="8"/>
      <c r="U414" s="7"/>
      <c r="V414" s="13"/>
      <c r="W414" s="9" t="str">
        <f t="shared" si="39"/>
        <v/>
      </c>
      <c r="X414" s="10" t="str">
        <f t="shared" si="40"/>
        <v/>
      </c>
      <c r="Y414" s="8"/>
      <c r="Z414" s="7"/>
      <c r="AA414" s="7"/>
      <c r="AB414" s="7"/>
      <c r="AC414" t="str">
        <f t="shared" si="41"/>
        <v/>
      </c>
    </row>
    <row r="415" spans="1:29" x14ac:dyDescent="0.3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9" t="str">
        <f>IF(J415="","",IFERROR(INDEX(Products!$B$5:$B$89,MATCH(J415,Products!$A$5:$A$89,0)),"Check ID"))</f>
        <v/>
      </c>
      <c r="L415" s="7"/>
      <c r="M415" s="10" t="str">
        <f>IF(J415="","",IFERROR(INDEX(Products!$E$5:$E$89,MATCH(J415,Products!$A$5:$A$89,0)),0))</f>
        <v/>
      </c>
      <c r="N415" s="11" t="str">
        <f>IF(L415="","",IFERROR(VLOOKUP(L415,'Discount Slabs'!$A$5:$B$9,2,TRUE()),0))</f>
        <v/>
      </c>
      <c r="O415" s="12"/>
      <c r="P415" s="10" t="str">
        <f t="shared" si="36"/>
        <v/>
      </c>
      <c r="Q415" s="10" t="str">
        <f t="shared" si="37"/>
        <v/>
      </c>
      <c r="R415" s="13"/>
      <c r="S415" s="10" t="str">
        <f t="shared" si="38"/>
        <v/>
      </c>
      <c r="T415" s="8"/>
      <c r="U415" s="7"/>
      <c r="V415" s="13"/>
      <c r="W415" s="9" t="str">
        <f t="shared" si="39"/>
        <v/>
      </c>
      <c r="X415" s="10" t="str">
        <f t="shared" si="40"/>
        <v/>
      </c>
      <c r="Y415" s="8"/>
      <c r="Z415" s="7"/>
      <c r="AA415" s="7"/>
      <c r="AB415" s="7"/>
      <c r="AC415" t="str">
        <f t="shared" si="41"/>
        <v/>
      </c>
    </row>
    <row r="416" spans="1:29" x14ac:dyDescent="0.3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9" t="str">
        <f>IF(J416="","",IFERROR(INDEX(Products!$B$5:$B$89,MATCH(J416,Products!$A$5:$A$89,0)),"Check ID"))</f>
        <v/>
      </c>
      <c r="L416" s="7"/>
      <c r="M416" s="10" t="str">
        <f>IF(J416="","",IFERROR(INDEX(Products!$E$5:$E$89,MATCH(J416,Products!$A$5:$A$89,0)),0))</f>
        <v/>
      </c>
      <c r="N416" s="11" t="str">
        <f>IF(L416="","",IFERROR(VLOOKUP(L416,'Discount Slabs'!$A$5:$B$9,2,TRUE()),0))</f>
        <v/>
      </c>
      <c r="O416" s="12"/>
      <c r="P416" s="10" t="str">
        <f t="shared" si="36"/>
        <v/>
      </c>
      <c r="Q416" s="10" t="str">
        <f t="shared" si="37"/>
        <v/>
      </c>
      <c r="R416" s="13"/>
      <c r="S416" s="10" t="str">
        <f t="shared" si="38"/>
        <v/>
      </c>
      <c r="T416" s="8"/>
      <c r="U416" s="7"/>
      <c r="V416" s="13"/>
      <c r="W416" s="9" t="str">
        <f t="shared" si="39"/>
        <v/>
      </c>
      <c r="X416" s="10" t="str">
        <f t="shared" si="40"/>
        <v/>
      </c>
      <c r="Y416" s="8"/>
      <c r="Z416" s="7"/>
      <c r="AA416" s="7"/>
      <c r="AB416" s="7"/>
      <c r="AC416" t="str">
        <f t="shared" si="41"/>
        <v/>
      </c>
    </row>
    <row r="417" spans="1:29" x14ac:dyDescent="0.3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9" t="str">
        <f>IF(J417="","",IFERROR(INDEX(Products!$B$5:$B$89,MATCH(J417,Products!$A$5:$A$89,0)),"Check ID"))</f>
        <v/>
      </c>
      <c r="L417" s="7"/>
      <c r="M417" s="10" t="str">
        <f>IF(J417="","",IFERROR(INDEX(Products!$E$5:$E$89,MATCH(J417,Products!$A$5:$A$89,0)),0))</f>
        <v/>
      </c>
      <c r="N417" s="11" t="str">
        <f>IF(L417="","",IFERROR(VLOOKUP(L417,'Discount Slabs'!$A$5:$B$9,2,TRUE()),0))</f>
        <v/>
      </c>
      <c r="O417" s="12"/>
      <c r="P417" s="10" t="str">
        <f t="shared" si="36"/>
        <v/>
      </c>
      <c r="Q417" s="10" t="str">
        <f t="shared" si="37"/>
        <v/>
      </c>
      <c r="R417" s="13"/>
      <c r="S417" s="10" t="str">
        <f t="shared" si="38"/>
        <v/>
      </c>
      <c r="T417" s="8"/>
      <c r="U417" s="7"/>
      <c r="V417" s="13"/>
      <c r="W417" s="9" t="str">
        <f t="shared" si="39"/>
        <v/>
      </c>
      <c r="X417" s="10" t="str">
        <f t="shared" si="40"/>
        <v/>
      </c>
      <c r="Y417" s="8"/>
      <c r="Z417" s="7"/>
      <c r="AA417" s="7"/>
      <c r="AB417" s="7"/>
      <c r="AC417" t="str">
        <f t="shared" si="41"/>
        <v/>
      </c>
    </row>
    <row r="418" spans="1:29" x14ac:dyDescent="0.3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9" t="str">
        <f>IF(J418="","",IFERROR(INDEX(Products!$B$5:$B$89,MATCH(J418,Products!$A$5:$A$89,0)),"Check ID"))</f>
        <v/>
      </c>
      <c r="L418" s="7"/>
      <c r="M418" s="10" t="str">
        <f>IF(J418="","",IFERROR(INDEX(Products!$E$5:$E$89,MATCH(J418,Products!$A$5:$A$89,0)),0))</f>
        <v/>
      </c>
      <c r="N418" s="11" t="str">
        <f>IF(L418="","",IFERROR(VLOOKUP(L418,'Discount Slabs'!$A$5:$B$9,2,TRUE()),0))</f>
        <v/>
      </c>
      <c r="O418" s="12"/>
      <c r="P418" s="10" t="str">
        <f t="shared" si="36"/>
        <v/>
      </c>
      <c r="Q418" s="10" t="str">
        <f t="shared" si="37"/>
        <v/>
      </c>
      <c r="R418" s="13"/>
      <c r="S418" s="10" t="str">
        <f t="shared" si="38"/>
        <v/>
      </c>
      <c r="T418" s="8"/>
      <c r="U418" s="7"/>
      <c r="V418" s="13"/>
      <c r="W418" s="9" t="str">
        <f t="shared" si="39"/>
        <v/>
      </c>
      <c r="X418" s="10" t="str">
        <f t="shared" si="40"/>
        <v/>
      </c>
      <c r="Y418" s="8"/>
      <c r="Z418" s="7"/>
      <c r="AA418" s="7"/>
      <c r="AB418" s="7"/>
      <c r="AC418" t="str">
        <f t="shared" si="41"/>
        <v/>
      </c>
    </row>
    <row r="419" spans="1:29" x14ac:dyDescent="0.3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9" t="str">
        <f>IF(J419="","",IFERROR(INDEX(Products!$B$5:$B$89,MATCH(J419,Products!$A$5:$A$89,0)),"Check ID"))</f>
        <v/>
      </c>
      <c r="L419" s="7"/>
      <c r="M419" s="10" t="str">
        <f>IF(J419="","",IFERROR(INDEX(Products!$E$5:$E$89,MATCH(J419,Products!$A$5:$A$89,0)),0))</f>
        <v/>
      </c>
      <c r="N419" s="11" t="str">
        <f>IF(L419="","",IFERROR(VLOOKUP(L419,'Discount Slabs'!$A$5:$B$9,2,TRUE()),0))</f>
        <v/>
      </c>
      <c r="O419" s="12"/>
      <c r="P419" s="10" t="str">
        <f t="shared" si="36"/>
        <v/>
      </c>
      <c r="Q419" s="10" t="str">
        <f t="shared" si="37"/>
        <v/>
      </c>
      <c r="R419" s="13"/>
      <c r="S419" s="10" t="str">
        <f t="shared" si="38"/>
        <v/>
      </c>
      <c r="T419" s="8"/>
      <c r="U419" s="7"/>
      <c r="V419" s="13"/>
      <c r="W419" s="9" t="str">
        <f t="shared" si="39"/>
        <v/>
      </c>
      <c r="X419" s="10" t="str">
        <f t="shared" si="40"/>
        <v/>
      </c>
      <c r="Y419" s="8"/>
      <c r="Z419" s="7"/>
      <c r="AA419" s="7"/>
      <c r="AB419" s="7"/>
      <c r="AC419" t="str">
        <f t="shared" si="41"/>
        <v/>
      </c>
    </row>
    <row r="420" spans="1:29" x14ac:dyDescent="0.3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9" t="str">
        <f>IF(J420="","",IFERROR(INDEX(Products!$B$5:$B$89,MATCH(J420,Products!$A$5:$A$89,0)),"Check ID"))</f>
        <v/>
      </c>
      <c r="L420" s="7"/>
      <c r="M420" s="10" t="str">
        <f>IF(J420="","",IFERROR(INDEX(Products!$E$5:$E$89,MATCH(J420,Products!$A$5:$A$89,0)),0))</f>
        <v/>
      </c>
      <c r="N420" s="11" t="str">
        <f>IF(L420="","",IFERROR(VLOOKUP(L420,'Discount Slabs'!$A$5:$B$9,2,TRUE()),0))</f>
        <v/>
      </c>
      <c r="O420" s="12"/>
      <c r="P420" s="10" t="str">
        <f t="shared" si="36"/>
        <v/>
      </c>
      <c r="Q420" s="10" t="str">
        <f t="shared" si="37"/>
        <v/>
      </c>
      <c r="R420" s="13"/>
      <c r="S420" s="10" t="str">
        <f t="shared" si="38"/>
        <v/>
      </c>
      <c r="T420" s="8"/>
      <c r="U420" s="7"/>
      <c r="V420" s="13"/>
      <c r="W420" s="9" t="str">
        <f t="shared" si="39"/>
        <v/>
      </c>
      <c r="X420" s="10" t="str">
        <f t="shared" si="40"/>
        <v/>
      </c>
      <c r="Y420" s="8"/>
      <c r="Z420" s="7"/>
      <c r="AA420" s="7"/>
      <c r="AB420" s="7"/>
      <c r="AC420" t="str">
        <f t="shared" si="41"/>
        <v/>
      </c>
    </row>
    <row r="421" spans="1:29" x14ac:dyDescent="0.3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9" t="str">
        <f>IF(J421="","",IFERROR(INDEX(Products!$B$5:$B$89,MATCH(J421,Products!$A$5:$A$89,0)),"Check ID"))</f>
        <v/>
      </c>
      <c r="L421" s="7"/>
      <c r="M421" s="10" t="str">
        <f>IF(J421="","",IFERROR(INDEX(Products!$E$5:$E$89,MATCH(J421,Products!$A$5:$A$89,0)),0))</f>
        <v/>
      </c>
      <c r="N421" s="11" t="str">
        <f>IF(L421="","",IFERROR(VLOOKUP(L421,'Discount Slabs'!$A$5:$B$9,2,TRUE()),0))</f>
        <v/>
      </c>
      <c r="O421" s="12"/>
      <c r="P421" s="10" t="str">
        <f t="shared" si="36"/>
        <v/>
      </c>
      <c r="Q421" s="10" t="str">
        <f t="shared" si="37"/>
        <v/>
      </c>
      <c r="R421" s="13"/>
      <c r="S421" s="10" t="str">
        <f t="shared" si="38"/>
        <v/>
      </c>
      <c r="T421" s="8"/>
      <c r="U421" s="7"/>
      <c r="V421" s="13"/>
      <c r="W421" s="9" t="str">
        <f t="shared" si="39"/>
        <v/>
      </c>
      <c r="X421" s="10" t="str">
        <f t="shared" si="40"/>
        <v/>
      </c>
      <c r="Y421" s="8"/>
      <c r="Z421" s="7"/>
      <c r="AA421" s="7"/>
      <c r="AB421" s="7"/>
      <c r="AC421" t="str">
        <f t="shared" si="41"/>
        <v/>
      </c>
    </row>
    <row r="422" spans="1:29" x14ac:dyDescent="0.3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9" t="str">
        <f>IF(J422="","",IFERROR(INDEX(Products!$B$5:$B$89,MATCH(J422,Products!$A$5:$A$89,0)),"Check ID"))</f>
        <v/>
      </c>
      <c r="L422" s="7"/>
      <c r="M422" s="10" t="str">
        <f>IF(J422="","",IFERROR(INDEX(Products!$E$5:$E$89,MATCH(J422,Products!$A$5:$A$89,0)),0))</f>
        <v/>
      </c>
      <c r="N422" s="11" t="str">
        <f>IF(L422="","",IFERROR(VLOOKUP(L422,'Discount Slabs'!$A$5:$B$9,2,TRUE()),0))</f>
        <v/>
      </c>
      <c r="O422" s="12"/>
      <c r="P422" s="10" t="str">
        <f t="shared" si="36"/>
        <v/>
      </c>
      <c r="Q422" s="10" t="str">
        <f t="shared" si="37"/>
        <v/>
      </c>
      <c r="R422" s="13"/>
      <c r="S422" s="10" t="str">
        <f t="shared" si="38"/>
        <v/>
      </c>
      <c r="T422" s="8"/>
      <c r="U422" s="7"/>
      <c r="V422" s="13"/>
      <c r="W422" s="9" t="str">
        <f t="shared" si="39"/>
        <v/>
      </c>
      <c r="X422" s="10" t="str">
        <f t="shared" si="40"/>
        <v/>
      </c>
      <c r="Y422" s="8"/>
      <c r="Z422" s="7"/>
      <c r="AA422" s="7"/>
      <c r="AB422" s="7"/>
      <c r="AC422" t="str">
        <f t="shared" si="41"/>
        <v/>
      </c>
    </row>
    <row r="423" spans="1:29" x14ac:dyDescent="0.3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9" t="str">
        <f>IF(J423="","",IFERROR(INDEX(Products!$B$5:$B$89,MATCH(J423,Products!$A$5:$A$89,0)),"Check ID"))</f>
        <v/>
      </c>
      <c r="L423" s="7"/>
      <c r="M423" s="10" t="str">
        <f>IF(J423="","",IFERROR(INDEX(Products!$E$5:$E$89,MATCH(J423,Products!$A$5:$A$89,0)),0))</f>
        <v/>
      </c>
      <c r="N423" s="11" t="str">
        <f>IF(L423="","",IFERROR(VLOOKUP(L423,'Discount Slabs'!$A$5:$B$9,2,TRUE()),0))</f>
        <v/>
      </c>
      <c r="O423" s="12"/>
      <c r="P423" s="10" t="str">
        <f t="shared" si="36"/>
        <v/>
      </c>
      <c r="Q423" s="10" t="str">
        <f t="shared" si="37"/>
        <v/>
      </c>
      <c r="R423" s="13"/>
      <c r="S423" s="10" t="str">
        <f t="shared" si="38"/>
        <v/>
      </c>
      <c r="T423" s="8"/>
      <c r="U423" s="7"/>
      <c r="V423" s="13"/>
      <c r="W423" s="9" t="str">
        <f t="shared" si="39"/>
        <v/>
      </c>
      <c r="X423" s="10" t="str">
        <f t="shared" si="40"/>
        <v/>
      </c>
      <c r="Y423" s="8"/>
      <c r="Z423" s="7"/>
      <c r="AA423" s="7"/>
      <c r="AB423" s="7"/>
      <c r="AC423" t="str">
        <f t="shared" si="41"/>
        <v/>
      </c>
    </row>
    <row r="424" spans="1:29" x14ac:dyDescent="0.3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9" t="str">
        <f>IF(J424="","",IFERROR(INDEX(Products!$B$5:$B$89,MATCH(J424,Products!$A$5:$A$89,0)),"Check ID"))</f>
        <v/>
      </c>
      <c r="L424" s="7"/>
      <c r="M424" s="10" t="str">
        <f>IF(J424="","",IFERROR(INDEX(Products!$E$5:$E$89,MATCH(J424,Products!$A$5:$A$89,0)),0))</f>
        <v/>
      </c>
      <c r="N424" s="11" t="str">
        <f>IF(L424="","",IFERROR(VLOOKUP(L424,'Discount Slabs'!$A$5:$B$9,2,TRUE()),0))</f>
        <v/>
      </c>
      <c r="O424" s="12"/>
      <c r="P424" s="10" t="str">
        <f t="shared" si="36"/>
        <v/>
      </c>
      <c r="Q424" s="10" t="str">
        <f t="shared" si="37"/>
        <v/>
      </c>
      <c r="R424" s="13"/>
      <c r="S424" s="10" t="str">
        <f t="shared" si="38"/>
        <v/>
      </c>
      <c r="T424" s="8"/>
      <c r="U424" s="7"/>
      <c r="V424" s="13"/>
      <c r="W424" s="9" t="str">
        <f t="shared" si="39"/>
        <v/>
      </c>
      <c r="X424" s="10" t="str">
        <f t="shared" si="40"/>
        <v/>
      </c>
      <c r="Y424" s="8"/>
      <c r="Z424" s="7"/>
      <c r="AA424" s="7"/>
      <c r="AB424" s="7"/>
      <c r="AC424" t="str">
        <f t="shared" si="41"/>
        <v/>
      </c>
    </row>
    <row r="425" spans="1:29" x14ac:dyDescent="0.3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9" t="str">
        <f>IF(J425="","",IFERROR(INDEX(Products!$B$5:$B$89,MATCH(J425,Products!$A$5:$A$89,0)),"Check ID"))</f>
        <v/>
      </c>
      <c r="L425" s="7"/>
      <c r="M425" s="10" t="str">
        <f>IF(J425="","",IFERROR(INDEX(Products!$E$5:$E$89,MATCH(J425,Products!$A$5:$A$89,0)),0))</f>
        <v/>
      </c>
      <c r="N425" s="11" t="str">
        <f>IF(L425="","",IFERROR(VLOOKUP(L425,'Discount Slabs'!$A$5:$B$9,2,TRUE()),0))</f>
        <v/>
      </c>
      <c r="O425" s="12"/>
      <c r="P425" s="10" t="str">
        <f t="shared" si="36"/>
        <v/>
      </c>
      <c r="Q425" s="10" t="str">
        <f t="shared" si="37"/>
        <v/>
      </c>
      <c r="R425" s="13"/>
      <c r="S425" s="10" t="str">
        <f t="shared" si="38"/>
        <v/>
      </c>
      <c r="T425" s="8"/>
      <c r="U425" s="7"/>
      <c r="V425" s="13"/>
      <c r="W425" s="9" t="str">
        <f t="shared" si="39"/>
        <v/>
      </c>
      <c r="X425" s="10" t="str">
        <f t="shared" si="40"/>
        <v/>
      </c>
      <c r="Y425" s="8"/>
      <c r="Z425" s="7"/>
      <c r="AA425" s="7"/>
      <c r="AB425" s="7"/>
      <c r="AC425" t="str">
        <f t="shared" si="41"/>
        <v/>
      </c>
    </row>
    <row r="426" spans="1:29" x14ac:dyDescent="0.3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9" t="str">
        <f>IF(J426="","",IFERROR(INDEX(Products!$B$5:$B$89,MATCH(J426,Products!$A$5:$A$89,0)),"Check ID"))</f>
        <v/>
      </c>
      <c r="L426" s="7"/>
      <c r="M426" s="10" t="str">
        <f>IF(J426="","",IFERROR(INDEX(Products!$E$5:$E$89,MATCH(J426,Products!$A$5:$A$89,0)),0))</f>
        <v/>
      </c>
      <c r="N426" s="11" t="str">
        <f>IF(L426="","",IFERROR(VLOOKUP(L426,'Discount Slabs'!$A$5:$B$9,2,TRUE()),0))</f>
        <v/>
      </c>
      <c r="O426" s="12"/>
      <c r="P426" s="10" t="str">
        <f t="shared" si="36"/>
        <v/>
      </c>
      <c r="Q426" s="10" t="str">
        <f t="shared" si="37"/>
        <v/>
      </c>
      <c r="R426" s="13"/>
      <c r="S426" s="10" t="str">
        <f t="shared" si="38"/>
        <v/>
      </c>
      <c r="T426" s="8"/>
      <c r="U426" s="7"/>
      <c r="V426" s="13"/>
      <c r="W426" s="9" t="str">
        <f t="shared" si="39"/>
        <v/>
      </c>
      <c r="X426" s="10" t="str">
        <f t="shared" si="40"/>
        <v/>
      </c>
      <c r="Y426" s="8"/>
      <c r="Z426" s="7"/>
      <c r="AA426" s="7"/>
      <c r="AB426" s="7"/>
      <c r="AC426" t="str">
        <f t="shared" si="41"/>
        <v/>
      </c>
    </row>
    <row r="427" spans="1:29" x14ac:dyDescent="0.3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9" t="str">
        <f>IF(J427="","",IFERROR(INDEX(Products!$B$5:$B$89,MATCH(J427,Products!$A$5:$A$89,0)),"Check ID"))</f>
        <v/>
      </c>
      <c r="L427" s="7"/>
      <c r="M427" s="10" t="str">
        <f>IF(J427="","",IFERROR(INDEX(Products!$E$5:$E$89,MATCH(J427,Products!$A$5:$A$89,0)),0))</f>
        <v/>
      </c>
      <c r="N427" s="11" t="str">
        <f>IF(L427="","",IFERROR(VLOOKUP(L427,'Discount Slabs'!$A$5:$B$9,2,TRUE()),0))</f>
        <v/>
      </c>
      <c r="O427" s="12"/>
      <c r="P427" s="10" t="str">
        <f t="shared" si="36"/>
        <v/>
      </c>
      <c r="Q427" s="10" t="str">
        <f t="shared" si="37"/>
        <v/>
      </c>
      <c r="R427" s="13"/>
      <c r="S427" s="10" t="str">
        <f t="shared" si="38"/>
        <v/>
      </c>
      <c r="T427" s="8"/>
      <c r="U427" s="7"/>
      <c r="V427" s="13"/>
      <c r="W427" s="9" t="str">
        <f t="shared" si="39"/>
        <v/>
      </c>
      <c r="X427" s="10" t="str">
        <f t="shared" si="40"/>
        <v/>
      </c>
      <c r="Y427" s="8"/>
      <c r="Z427" s="7"/>
      <c r="AA427" s="7"/>
      <c r="AB427" s="7"/>
      <c r="AC427" t="str">
        <f t="shared" si="41"/>
        <v/>
      </c>
    </row>
    <row r="428" spans="1:29" x14ac:dyDescent="0.3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9" t="str">
        <f>IF(J428="","",IFERROR(INDEX(Products!$B$5:$B$89,MATCH(J428,Products!$A$5:$A$89,0)),"Check ID"))</f>
        <v/>
      </c>
      <c r="L428" s="7"/>
      <c r="M428" s="10" t="str">
        <f>IF(J428="","",IFERROR(INDEX(Products!$E$5:$E$89,MATCH(J428,Products!$A$5:$A$89,0)),0))</f>
        <v/>
      </c>
      <c r="N428" s="11" t="str">
        <f>IF(L428="","",IFERROR(VLOOKUP(L428,'Discount Slabs'!$A$5:$B$9,2,TRUE()),0))</f>
        <v/>
      </c>
      <c r="O428" s="12"/>
      <c r="P428" s="10" t="str">
        <f t="shared" si="36"/>
        <v/>
      </c>
      <c r="Q428" s="10" t="str">
        <f t="shared" si="37"/>
        <v/>
      </c>
      <c r="R428" s="13"/>
      <c r="S428" s="10" t="str">
        <f t="shared" si="38"/>
        <v/>
      </c>
      <c r="T428" s="8"/>
      <c r="U428" s="7"/>
      <c r="V428" s="13"/>
      <c r="W428" s="9" t="str">
        <f t="shared" si="39"/>
        <v/>
      </c>
      <c r="X428" s="10" t="str">
        <f t="shared" si="40"/>
        <v/>
      </c>
      <c r="Y428" s="8"/>
      <c r="Z428" s="7"/>
      <c r="AA428" s="7"/>
      <c r="AB428" s="7"/>
      <c r="AC428" t="str">
        <f t="shared" si="41"/>
        <v/>
      </c>
    </row>
    <row r="429" spans="1:29" x14ac:dyDescent="0.3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9" t="str">
        <f>IF(J429="","",IFERROR(INDEX(Products!$B$5:$B$89,MATCH(J429,Products!$A$5:$A$89,0)),"Check ID"))</f>
        <v/>
      </c>
      <c r="L429" s="7"/>
      <c r="M429" s="10" t="str">
        <f>IF(J429="","",IFERROR(INDEX(Products!$E$5:$E$89,MATCH(J429,Products!$A$5:$A$89,0)),0))</f>
        <v/>
      </c>
      <c r="N429" s="11" t="str">
        <f>IF(L429="","",IFERROR(VLOOKUP(L429,'Discount Slabs'!$A$5:$B$9,2,TRUE()),0))</f>
        <v/>
      </c>
      <c r="O429" s="12"/>
      <c r="P429" s="10" t="str">
        <f t="shared" si="36"/>
        <v/>
      </c>
      <c r="Q429" s="10" t="str">
        <f t="shared" si="37"/>
        <v/>
      </c>
      <c r="R429" s="13"/>
      <c r="S429" s="10" t="str">
        <f t="shared" si="38"/>
        <v/>
      </c>
      <c r="T429" s="8"/>
      <c r="U429" s="7"/>
      <c r="V429" s="13"/>
      <c r="W429" s="9" t="str">
        <f t="shared" si="39"/>
        <v/>
      </c>
      <c r="X429" s="10" t="str">
        <f t="shared" si="40"/>
        <v/>
      </c>
      <c r="Y429" s="8"/>
      <c r="Z429" s="7"/>
      <c r="AA429" s="7"/>
      <c r="AB429" s="7"/>
      <c r="AC429" t="str">
        <f t="shared" si="41"/>
        <v/>
      </c>
    </row>
    <row r="430" spans="1:29" x14ac:dyDescent="0.3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9" t="str">
        <f>IF(J430="","",IFERROR(INDEX(Products!$B$5:$B$89,MATCH(J430,Products!$A$5:$A$89,0)),"Check ID"))</f>
        <v/>
      </c>
      <c r="L430" s="7"/>
      <c r="M430" s="10" t="str">
        <f>IF(J430="","",IFERROR(INDEX(Products!$E$5:$E$89,MATCH(J430,Products!$A$5:$A$89,0)),0))</f>
        <v/>
      </c>
      <c r="N430" s="11" t="str">
        <f>IF(L430="","",IFERROR(VLOOKUP(L430,'Discount Slabs'!$A$5:$B$9,2,TRUE()),0))</f>
        <v/>
      </c>
      <c r="O430" s="12"/>
      <c r="P430" s="10" t="str">
        <f t="shared" si="36"/>
        <v/>
      </c>
      <c r="Q430" s="10" t="str">
        <f t="shared" si="37"/>
        <v/>
      </c>
      <c r="R430" s="13"/>
      <c r="S430" s="10" t="str">
        <f t="shared" si="38"/>
        <v/>
      </c>
      <c r="T430" s="8"/>
      <c r="U430" s="7"/>
      <c r="V430" s="13"/>
      <c r="W430" s="9" t="str">
        <f t="shared" si="39"/>
        <v/>
      </c>
      <c r="X430" s="10" t="str">
        <f t="shared" si="40"/>
        <v/>
      </c>
      <c r="Y430" s="8"/>
      <c r="Z430" s="7"/>
      <c r="AA430" s="7"/>
      <c r="AB430" s="7"/>
      <c r="AC430" t="str">
        <f t="shared" si="41"/>
        <v/>
      </c>
    </row>
    <row r="431" spans="1:29" x14ac:dyDescent="0.3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9" t="str">
        <f>IF(J431="","",IFERROR(INDEX(Products!$B$5:$B$89,MATCH(J431,Products!$A$5:$A$89,0)),"Check ID"))</f>
        <v/>
      </c>
      <c r="L431" s="7"/>
      <c r="M431" s="10" t="str">
        <f>IF(J431="","",IFERROR(INDEX(Products!$E$5:$E$89,MATCH(J431,Products!$A$5:$A$89,0)),0))</f>
        <v/>
      </c>
      <c r="N431" s="11" t="str">
        <f>IF(L431="","",IFERROR(VLOOKUP(L431,'Discount Slabs'!$A$5:$B$9,2,TRUE()),0))</f>
        <v/>
      </c>
      <c r="O431" s="12"/>
      <c r="P431" s="10" t="str">
        <f t="shared" si="36"/>
        <v/>
      </c>
      <c r="Q431" s="10" t="str">
        <f t="shared" si="37"/>
        <v/>
      </c>
      <c r="R431" s="13"/>
      <c r="S431" s="10" t="str">
        <f t="shared" si="38"/>
        <v/>
      </c>
      <c r="T431" s="8"/>
      <c r="U431" s="7"/>
      <c r="V431" s="13"/>
      <c r="W431" s="9" t="str">
        <f t="shared" si="39"/>
        <v/>
      </c>
      <c r="X431" s="10" t="str">
        <f t="shared" si="40"/>
        <v/>
      </c>
      <c r="Y431" s="8"/>
      <c r="Z431" s="7"/>
      <c r="AA431" s="7"/>
      <c r="AB431" s="7"/>
      <c r="AC431" t="str">
        <f t="shared" si="41"/>
        <v/>
      </c>
    </row>
    <row r="432" spans="1:29" x14ac:dyDescent="0.3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9" t="str">
        <f>IF(J432="","",IFERROR(INDEX(Products!$B$5:$B$89,MATCH(J432,Products!$A$5:$A$89,0)),"Check ID"))</f>
        <v/>
      </c>
      <c r="L432" s="7"/>
      <c r="M432" s="10" t="str">
        <f>IF(J432="","",IFERROR(INDEX(Products!$E$5:$E$89,MATCH(J432,Products!$A$5:$A$89,0)),0))</f>
        <v/>
      </c>
      <c r="N432" s="11" t="str">
        <f>IF(L432="","",IFERROR(VLOOKUP(L432,'Discount Slabs'!$A$5:$B$9,2,TRUE()),0))</f>
        <v/>
      </c>
      <c r="O432" s="12"/>
      <c r="P432" s="10" t="str">
        <f t="shared" si="36"/>
        <v/>
      </c>
      <c r="Q432" s="10" t="str">
        <f t="shared" si="37"/>
        <v/>
      </c>
      <c r="R432" s="13"/>
      <c r="S432" s="10" t="str">
        <f t="shared" si="38"/>
        <v/>
      </c>
      <c r="T432" s="8"/>
      <c r="U432" s="7"/>
      <c r="V432" s="13"/>
      <c r="W432" s="9" t="str">
        <f t="shared" si="39"/>
        <v/>
      </c>
      <c r="X432" s="10" t="str">
        <f t="shared" si="40"/>
        <v/>
      </c>
      <c r="Y432" s="8"/>
      <c r="Z432" s="7"/>
      <c r="AA432" s="7"/>
      <c r="AB432" s="7"/>
      <c r="AC432" t="str">
        <f t="shared" si="41"/>
        <v/>
      </c>
    </row>
    <row r="433" spans="1:29" x14ac:dyDescent="0.3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9" t="str">
        <f>IF(J433="","",IFERROR(INDEX(Products!$B$5:$B$89,MATCH(J433,Products!$A$5:$A$89,0)),"Check ID"))</f>
        <v/>
      </c>
      <c r="L433" s="7"/>
      <c r="M433" s="10" t="str">
        <f>IF(J433="","",IFERROR(INDEX(Products!$E$5:$E$89,MATCH(J433,Products!$A$5:$A$89,0)),0))</f>
        <v/>
      </c>
      <c r="N433" s="11" t="str">
        <f>IF(L433="","",IFERROR(VLOOKUP(L433,'Discount Slabs'!$A$5:$B$9,2,TRUE()),0))</f>
        <v/>
      </c>
      <c r="O433" s="12"/>
      <c r="P433" s="10" t="str">
        <f t="shared" si="36"/>
        <v/>
      </c>
      <c r="Q433" s="10" t="str">
        <f t="shared" si="37"/>
        <v/>
      </c>
      <c r="R433" s="13"/>
      <c r="S433" s="10" t="str">
        <f t="shared" si="38"/>
        <v/>
      </c>
      <c r="T433" s="8"/>
      <c r="U433" s="7"/>
      <c r="V433" s="13"/>
      <c r="W433" s="9" t="str">
        <f t="shared" si="39"/>
        <v/>
      </c>
      <c r="X433" s="10" t="str">
        <f t="shared" si="40"/>
        <v/>
      </c>
      <c r="Y433" s="8"/>
      <c r="Z433" s="7"/>
      <c r="AA433" s="7"/>
      <c r="AB433" s="7"/>
      <c r="AC433" t="str">
        <f t="shared" si="41"/>
        <v/>
      </c>
    </row>
    <row r="434" spans="1:29" x14ac:dyDescent="0.3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9" t="str">
        <f>IF(J434="","",IFERROR(INDEX(Products!$B$5:$B$89,MATCH(J434,Products!$A$5:$A$89,0)),"Check ID"))</f>
        <v/>
      </c>
      <c r="L434" s="7"/>
      <c r="M434" s="10" t="str">
        <f>IF(J434="","",IFERROR(INDEX(Products!$E$5:$E$89,MATCH(J434,Products!$A$5:$A$89,0)),0))</f>
        <v/>
      </c>
      <c r="N434" s="11" t="str">
        <f>IF(L434="","",IFERROR(VLOOKUP(L434,'Discount Slabs'!$A$5:$B$9,2,TRUE()),0))</f>
        <v/>
      </c>
      <c r="O434" s="12"/>
      <c r="P434" s="10" t="str">
        <f t="shared" si="36"/>
        <v/>
      </c>
      <c r="Q434" s="10" t="str">
        <f t="shared" si="37"/>
        <v/>
      </c>
      <c r="R434" s="13"/>
      <c r="S434" s="10" t="str">
        <f t="shared" si="38"/>
        <v/>
      </c>
      <c r="T434" s="8"/>
      <c r="U434" s="7"/>
      <c r="V434" s="13"/>
      <c r="W434" s="9" t="str">
        <f t="shared" si="39"/>
        <v/>
      </c>
      <c r="X434" s="10" t="str">
        <f t="shared" si="40"/>
        <v/>
      </c>
      <c r="Y434" s="8"/>
      <c r="Z434" s="7"/>
      <c r="AA434" s="7"/>
      <c r="AB434" s="7"/>
      <c r="AC434" t="str">
        <f t="shared" si="41"/>
        <v/>
      </c>
    </row>
    <row r="435" spans="1:29" x14ac:dyDescent="0.3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9" t="str">
        <f>IF(J435="","",IFERROR(INDEX(Products!$B$5:$B$89,MATCH(J435,Products!$A$5:$A$89,0)),"Check ID"))</f>
        <v/>
      </c>
      <c r="L435" s="7"/>
      <c r="M435" s="10" t="str">
        <f>IF(J435="","",IFERROR(INDEX(Products!$E$5:$E$89,MATCH(J435,Products!$A$5:$A$89,0)),0))</f>
        <v/>
      </c>
      <c r="N435" s="11" t="str">
        <f>IF(L435="","",IFERROR(VLOOKUP(L435,'Discount Slabs'!$A$5:$B$9,2,TRUE()),0))</f>
        <v/>
      </c>
      <c r="O435" s="12"/>
      <c r="P435" s="10" t="str">
        <f t="shared" si="36"/>
        <v/>
      </c>
      <c r="Q435" s="10" t="str">
        <f t="shared" si="37"/>
        <v/>
      </c>
      <c r="R435" s="13"/>
      <c r="S435" s="10" t="str">
        <f t="shared" si="38"/>
        <v/>
      </c>
      <c r="T435" s="8"/>
      <c r="U435" s="7"/>
      <c r="V435" s="13"/>
      <c r="W435" s="9" t="str">
        <f t="shared" si="39"/>
        <v/>
      </c>
      <c r="X435" s="10" t="str">
        <f t="shared" si="40"/>
        <v/>
      </c>
      <c r="Y435" s="8"/>
      <c r="Z435" s="7"/>
      <c r="AA435" s="7"/>
      <c r="AB435" s="7"/>
      <c r="AC435" t="str">
        <f t="shared" si="41"/>
        <v/>
      </c>
    </row>
    <row r="436" spans="1:29" x14ac:dyDescent="0.3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9" t="str">
        <f>IF(J436="","",IFERROR(INDEX(Products!$B$5:$B$89,MATCH(J436,Products!$A$5:$A$89,0)),"Check ID"))</f>
        <v/>
      </c>
      <c r="L436" s="7"/>
      <c r="M436" s="10" t="str">
        <f>IF(J436="","",IFERROR(INDEX(Products!$E$5:$E$89,MATCH(J436,Products!$A$5:$A$89,0)),0))</f>
        <v/>
      </c>
      <c r="N436" s="11" t="str">
        <f>IF(L436="","",IFERROR(VLOOKUP(L436,'Discount Slabs'!$A$5:$B$9,2,TRUE()),0))</f>
        <v/>
      </c>
      <c r="O436" s="12"/>
      <c r="P436" s="10" t="str">
        <f t="shared" si="36"/>
        <v/>
      </c>
      <c r="Q436" s="10" t="str">
        <f t="shared" si="37"/>
        <v/>
      </c>
      <c r="R436" s="13"/>
      <c r="S436" s="10" t="str">
        <f t="shared" si="38"/>
        <v/>
      </c>
      <c r="T436" s="8"/>
      <c r="U436" s="7"/>
      <c r="V436" s="13"/>
      <c r="W436" s="9" t="str">
        <f t="shared" si="39"/>
        <v/>
      </c>
      <c r="X436" s="10" t="str">
        <f t="shared" si="40"/>
        <v/>
      </c>
      <c r="Y436" s="8"/>
      <c r="Z436" s="7"/>
      <c r="AA436" s="7"/>
      <c r="AB436" s="7"/>
      <c r="AC436" t="str">
        <f t="shared" si="41"/>
        <v/>
      </c>
    </row>
    <row r="437" spans="1:29" x14ac:dyDescent="0.3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9" t="str">
        <f>IF(J437="","",IFERROR(INDEX(Products!$B$5:$B$89,MATCH(J437,Products!$A$5:$A$89,0)),"Check ID"))</f>
        <v/>
      </c>
      <c r="L437" s="7"/>
      <c r="M437" s="10" t="str">
        <f>IF(J437="","",IFERROR(INDEX(Products!$E$5:$E$89,MATCH(J437,Products!$A$5:$A$89,0)),0))</f>
        <v/>
      </c>
      <c r="N437" s="11" t="str">
        <f>IF(L437="","",IFERROR(VLOOKUP(L437,'Discount Slabs'!$A$5:$B$9,2,TRUE()),0))</f>
        <v/>
      </c>
      <c r="O437" s="12"/>
      <c r="P437" s="10" t="str">
        <f t="shared" si="36"/>
        <v/>
      </c>
      <c r="Q437" s="10" t="str">
        <f t="shared" si="37"/>
        <v/>
      </c>
      <c r="R437" s="13"/>
      <c r="S437" s="10" t="str">
        <f t="shared" si="38"/>
        <v/>
      </c>
      <c r="T437" s="8"/>
      <c r="U437" s="7"/>
      <c r="V437" s="13"/>
      <c r="W437" s="9" t="str">
        <f t="shared" si="39"/>
        <v/>
      </c>
      <c r="X437" s="10" t="str">
        <f t="shared" si="40"/>
        <v/>
      </c>
      <c r="Y437" s="8"/>
      <c r="Z437" s="7"/>
      <c r="AA437" s="7"/>
      <c r="AB437" s="7"/>
      <c r="AC437" t="str">
        <f t="shared" si="41"/>
        <v/>
      </c>
    </row>
    <row r="438" spans="1:29" x14ac:dyDescent="0.3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9" t="str">
        <f>IF(J438="","",IFERROR(INDEX(Products!$B$5:$B$89,MATCH(J438,Products!$A$5:$A$89,0)),"Check ID"))</f>
        <v/>
      </c>
      <c r="L438" s="7"/>
      <c r="M438" s="10" t="str">
        <f>IF(J438="","",IFERROR(INDEX(Products!$E$5:$E$89,MATCH(J438,Products!$A$5:$A$89,0)),0))</f>
        <v/>
      </c>
      <c r="N438" s="11" t="str">
        <f>IF(L438="","",IFERROR(VLOOKUP(L438,'Discount Slabs'!$A$5:$B$9,2,TRUE()),0))</f>
        <v/>
      </c>
      <c r="O438" s="12"/>
      <c r="P438" s="10" t="str">
        <f t="shared" si="36"/>
        <v/>
      </c>
      <c r="Q438" s="10" t="str">
        <f t="shared" si="37"/>
        <v/>
      </c>
      <c r="R438" s="13"/>
      <c r="S438" s="10" t="str">
        <f t="shared" si="38"/>
        <v/>
      </c>
      <c r="T438" s="8"/>
      <c r="U438" s="7"/>
      <c r="V438" s="13"/>
      <c r="W438" s="9" t="str">
        <f t="shared" si="39"/>
        <v/>
      </c>
      <c r="X438" s="10" t="str">
        <f t="shared" si="40"/>
        <v/>
      </c>
      <c r="Y438" s="8"/>
      <c r="Z438" s="7"/>
      <c r="AA438" s="7"/>
      <c r="AB438" s="7"/>
      <c r="AC438" t="str">
        <f t="shared" si="41"/>
        <v/>
      </c>
    </row>
    <row r="439" spans="1:29" x14ac:dyDescent="0.3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9" t="str">
        <f>IF(J439="","",IFERROR(INDEX(Products!$B$5:$B$89,MATCH(J439,Products!$A$5:$A$89,0)),"Check ID"))</f>
        <v/>
      </c>
      <c r="L439" s="7"/>
      <c r="M439" s="10" t="str">
        <f>IF(J439="","",IFERROR(INDEX(Products!$E$5:$E$89,MATCH(J439,Products!$A$5:$A$89,0)),0))</f>
        <v/>
      </c>
      <c r="N439" s="11" t="str">
        <f>IF(L439="","",IFERROR(VLOOKUP(L439,'Discount Slabs'!$A$5:$B$9,2,TRUE()),0))</f>
        <v/>
      </c>
      <c r="O439" s="12"/>
      <c r="P439" s="10" t="str">
        <f t="shared" si="36"/>
        <v/>
      </c>
      <c r="Q439" s="10" t="str">
        <f t="shared" si="37"/>
        <v/>
      </c>
      <c r="R439" s="13"/>
      <c r="S439" s="10" t="str">
        <f t="shared" si="38"/>
        <v/>
      </c>
      <c r="T439" s="8"/>
      <c r="U439" s="7"/>
      <c r="V439" s="13"/>
      <c r="W439" s="9" t="str">
        <f t="shared" si="39"/>
        <v/>
      </c>
      <c r="X439" s="10" t="str">
        <f t="shared" si="40"/>
        <v/>
      </c>
      <c r="Y439" s="8"/>
      <c r="Z439" s="7"/>
      <c r="AA439" s="7"/>
      <c r="AB439" s="7"/>
      <c r="AC439" t="str">
        <f t="shared" si="41"/>
        <v/>
      </c>
    </row>
    <row r="440" spans="1:29" x14ac:dyDescent="0.3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9" t="str">
        <f>IF(J440="","",IFERROR(INDEX(Products!$B$5:$B$89,MATCH(J440,Products!$A$5:$A$89,0)),"Check ID"))</f>
        <v/>
      </c>
      <c r="L440" s="7"/>
      <c r="M440" s="10" t="str">
        <f>IF(J440="","",IFERROR(INDEX(Products!$E$5:$E$89,MATCH(J440,Products!$A$5:$A$89,0)),0))</f>
        <v/>
      </c>
      <c r="N440" s="11" t="str">
        <f>IF(L440="","",IFERROR(VLOOKUP(L440,'Discount Slabs'!$A$5:$B$9,2,TRUE()),0))</f>
        <v/>
      </c>
      <c r="O440" s="12"/>
      <c r="P440" s="10" t="str">
        <f t="shared" si="36"/>
        <v/>
      </c>
      <c r="Q440" s="10" t="str">
        <f t="shared" si="37"/>
        <v/>
      </c>
      <c r="R440" s="13"/>
      <c r="S440" s="10" t="str">
        <f t="shared" si="38"/>
        <v/>
      </c>
      <c r="T440" s="8"/>
      <c r="U440" s="7"/>
      <c r="V440" s="13"/>
      <c r="W440" s="9" t="str">
        <f t="shared" si="39"/>
        <v/>
      </c>
      <c r="X440" s="10" t="str">
        <f t="shared" si="40"/>
        <v/>
      </c>
      <c r="Y440" s="8"/>
      <c r="Z440" s="7"/>
      <c r="AA440" s="7"/>
      <c r="AB440" s="7"/>
      <c r="AC440" t="str">
        <f t="shared" si="41"/>
        <v/>
      </c>
    </row>
    <row r="441" spans="1:29" x14ac:dyDescent="0.3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9" t="str">
        <f>IF(J441="","",IFERROR(INDEX(Products!$B$5:$B$89,MATCH(J441,Products!$A$5:$A$89,0)),"Check ID"))</f>
        <v/>
      </c>
      <c r="L441" s="7"/>
      <c r="M441" s="10" t="str">
        <f>IF(J441="","",IFERROR(INDEX(Products!$E$5:$E$89,MATCH(J441,Products!$A$5:$A$89,0)),0))</f>
        <v/>
      </c>
      <c r="N441" s="11" t="str">
        <f>IF(L441="","",IFERROR(VLOOKUP(L441,'Discount Slabs'!$A$5:$B$9,2,TRUE()),0))</f>
        <v/>
      </c>
      <c r="O441" s="12"/>
      <c r="P441" s="10" t="str">
        <f t="shared" si="36"/>
        <v/>
      </c>
      <c r="Q441" s="10" t="str">
        <f t="shared" si="37"/>
        <v/>
      </c>
      <c r="R441" s="13"/>
      <c r="S441" s="10" t="str">
        <f t="shared" si="38"/>
        <v/>
      </c>
      <c r="T441" s="8"/>
      <c r="U441" s="7"/>
      <c r="V441" s="13"/>
      <c r="W441" s="9" t="str">
        <f t="shared" si="39"/>
        <v/>
      </c>
      <c r="X441" s="10" t="str">
        <f t="shared" si="40"/>
        <v/>
      </c>
      <c r="Y441" s="8"/>
      <c r="Z441" s="7"/>
      <c r="AA441" s="7"/>
      <c r="AB441" s="7"/>
      <c r="AC441" t="str">
        <f t="shared" si="41"/>
        <v/>
      </c>
    </row>
    <row r="442" spans="1:29" x14ac:dyDescent="0.3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9" t="str">
        <f>IF(J442="","",IFERROR(INDEX(Products!$B$5:$B$89,MATCH(J442,Products!$A$5:$A$89,0)),"Check ID"))</f>
        <v/>
      </c>
      <c r="L442" s="7"/>
      <c r="M442" s="10" t="str">
        <f>IF(J442="","",IFERROR(INDEX(Products!$E$5:$E$89,MATCH(J442,Products!$A$5:$A$89,0)),0))</f>
        <v/>
      </c>
      <c r="N442" s="11" t="str">
        <f>IF(L442="","",IFERROR(VLOOKUP(L442,'Discount Slabs'!$A$5:$B$9,2,TRUE()),0))</f>
        <v/>
      </c>
      <c r="O442" s="12"/>
      <c r="P442" s="10" t="str">
        <f t="shared" si="36"/>
        <v/>
      </c>
      <c r="Q442" s="10" t="str">
        <f t="shared" si="37"/>
        <v/>
      </c>
      <c r="R442" s="13"/>
      <c r="S442" s="10" t="str">
        <f t="shared" si="38"/>
        <v/>
      </c>
      <c r="T442" s="8"/>
      <c r="U442" s="7"/>
      <c r="V442" s="13"/>
      <c r="W442" s="9" t="str">
        <f t="shared" si="39"/>
        <v/>
      </c>
      <c r="X442" s="10" t="str">
        <f t="shared" si="40"/>
        <v/>
      </c>
      <c r="Y442" s="8"/>
      <c r="Z442" s="7"/>
      <c r="AA442" s="7"/>
      <c r="AB442" s="7"/>
      <c r="AC442" t="str">
        <f t="shared" si="41"/>
        <v/>
      </c>
    </row>
    <row r="443" spans="1:29" x14ac:dyDescent="0.3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9" t="str">
        <f>IF(J443="","",IFERROR(INDEX(Products!$B$5:$B$89,MATCH(J443,Products!$A$5:$A$89,0)),"Check ID"))</f>
        <v/>
      </c>
      <c r="L443" s="7"/>
      <c r="M443" s="10" t="str">
        <f>IF(J443="","",IFERROR(INDEX(Products!$E$5:$E$89,MATCH(J443,Products!$A$5:$A$89,0)),0))</f>
        <v/>
      </c>
      <c r="N443" s="11" t="str">
        <f>IF(L443="","",IFERROR(VLOOKUP(L443,'Discount Slabs'!$A$5:$B$9,2,TRUE()),0))</f>
        <v/>
      </c>
      <c r="O443" s="12"/>
      <c r="P443" s="10" t="str">
        <f t="shared" si="36"/>
        <v/>
      </c>
      <c r="Q443" s="10" t="str">
        <f t="shared" si="37"/>
        <v/>
      </c>
      <c r="R443" s="13"/>
      <c r="S443" s="10" t="str">
        <f t="shared" si="38"/>
        <v/>
      </c>
      <c r="T443" s="8"/>
      <c r="U443" s="7"/>
      <c r="V443" s="13"/>
      <c r="W443" s="9" t="str">
        <f t="shared" si="39"/>
        <v/>
      </c>
      <c r="X443" s="10" t="str">
        <f t="shared" si="40"/>
        <v/>
      </c>
      <c r="Y443" s="8"/>
      <c r="Z443" s="7"/>
      <c r="AA443" s="7"/>
      <c r="AB443" s="7"/>
      <c r="AC443" t="str">
        <f t="shared" si="41"/>
        <v/>
      </c>
    </row>
    <row r="444" spans="1:29" x14ac:dyDescent="0.3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9" t="str">
        <f>IF(J444="","",IFERROR(INDEX(Products!$B$5:$B$89,MATCH(J444,Products!$A$5:$A$89,0)),"Check ID"))</f>
        <v/>
      </c>
      <c r="L444" s="7"/>
      <c r="M444" s="10" t="str">
        <f>IF(J444="","",IFERROR(INDEX(Products!$E$5:$E$89,MATCH(J444,Products!$A$5:$A$89,0)),0))</f>
        <v/>
      </c>
      <c r="N444" s="11" t="str">
        <f>IF(L444="","",IFERROR(VLOOKUP(L444,'Discount Slabs'!$A$5:$B$9,2,TRUE()),0))</f>
        <v/>
      </c>
      <c r="O444" s="12"/>
      <c r="P444" s="10" t="str">
        <f t="shared" si="36"/>
        <v/>
      </c>
      <c r="Q444" s="10" t="str">
        <f t="shared" si="37"/>
        <v/>
      </c>
      <c r="R444" s="13"/>
      <c r="S444" s="10" t="str">
        <f t="shared" si="38"/>
        <v/>
      </c>
      <c r="T444" s="8"/>
      <c r="U444" s="7"/>
      <c r="V444" s="13"/>
      <c r="W444" s="9" t="str">
        <f t="shared" si="39"/>
        <v/>
      </c>
      <c r="X444" s="10" t="str">
        <f t="shared" si="40"/>
        <v/>
      </c>
      <c r="Y444" s="8"/>
      <c r="Z444" s="7"/>
      <c r="AA444" s="7"/>
      <c r="AB444" s="7"/>
      <c r="AC444" t="str">
        <f t="shared" si="41"/>
        <v/>
      </c>
    </row>
    <row r="445" spans="1:29" x14ac:dyDescent="0.3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9" t="str">
        <f>IF(J445="","",IFERROR(INDEX(Products!$B$5:$B$89,MATCH(J445,Products!$A$5:$A$89,0)),"Check ID"))</f>
        <v/>
      </c>
      <c r="L445" s="7"/>
      <c r="M445" s="10" t="str">
        <f>IF(J445="","",IFERROR(INDEX(Products!$E$5:$E$89,MATCH(J445,Products!$A$5:$A$89,0)),0))</f>
        <v/>
      </c>
      <c r="N445" s="11" t="str">
        <f>IF(L445="","",IFERROR(VLOOKUP(L445,'Discount Slabs'!$A$5:$B$9,2,TRUE()),0))</f>
        <v/>
      </c>
      <c r="O445" s="12"/>
      <c r="P445" s="10" t="str">
        <f t="shared" si="36"/>
        <v/>
      </c>
      <c r="Q445" s="10" t="str">
        <f t="shared" si="37"/>
        <v/>
      </c>
      <c r="R445" s="13"/>
      <c r="S445" s="10" t="str">
        <f t="shared" si="38"/>
        <v/>
      </c>
      <c r="T445" s="8"/>
      <c r="U445" s="7"/>
      <c r="V445" s="13"/>
      <c r="W445" s="9" t="str">
        <f t="shared" si="39"/>
        <v/>
      </c>
      <c r="X445" s="10" t="str">
        <f t="shared" si="40"/>
        <v/>
      </c>
      <c r="Y445" s="8"/>
      <c r="Z445" s="7"/>
      <c r="AA445" s="7"/>
      <c r="AB445" s="7"/>
      <c r="AC445" t="str">
        <f t="shared" si="41"/>
        <v/>
      </c>
    </row>
    <row r="446" spans="1:29" x14ac:dyDescent="0.3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9" t="str">
        <f>IF(J446="","",IFERROR(INDEX(Products!$B$5:$B$89,MATCH(J446,Products!$A$5:$A$89,0)),"Check ID"))</f>
        <v/>
      </c>
      <c r="L446" s="7"/>
      <c r="M446" s="10" t="str">
        <f>IF(J446="","",IFERROR(INDEX(Products!$E$5:$E$89,MATCH(J446,Products!$A$5:$A$89,0)),0))</f>
        <v/>
      </c>
      <c r="N446" s="11" t="str">
        <f>IF(L446="","",IFERROR(VLOOKUP(L446,'Discount Slabs'!$A$5:$B$9,2,TRUE()),0))</f>
        <v/>
      </c>
      <c r="O446" s="12"/>
      <c r="P446" s="10" t="str">
        <f t="shared" si="36"/>
        <v/>
      </c>
      <c r="Q446" s="10" t="str">
        <f t="shared" si="37"/>
        <v/>
      </c>
      <c r="R446" s="13"/>
      <c r="S446" s="10" t="str">
        <f t="shared" si="38"/>
        <v/>
      </c>
      <c r="T446" s="8"/>
      <c r="U446" s="7"/>
      <c r="V446" s="13"/>
      <c r="W446" s="9" t="str">
        <f t="shared" si="39"/>
        <v/>
      </c>
      <c r="X446" s="10" t="str">
        <f t="shared" si="40"/>
        <v/>
      </c>
      <c r="Y446" s="8"/>
      <c r="Z446" s="7"/>
      <c r="AA446" s="7"/>
      <c r="AB446" s="7"/>
      <c r="AC446" t="str">
        <f t="shared" si="41"/>
        <v/>
      </c>
    </row>
    <row r="447" spans="1:29" x14ac:dyDescent="0.3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9" t="str">
        <f>IF(J447="","",IFERROR(INDEX(Products!$B$5:$B$89,MATCH(J447,Products!$A$5:$A$89,0)),"Check ID"))</f>
        <v/>
      </c>
      <c r="L447" s="7"/>
      <c r="M447" s="10" t="str">
        <f>IF(J447="","",IFERROR(INDEX(Products!$E$5:$E$89,MATCH(J447,Products!$A$5:$A$89,0)),0))</f>
        <v/>
      </c>
      <c r="N447" s="11" t="str">
        <f>IF(L447="","",IFERROR(VLOOKUP(L447,'Discount Slabs'!$A$5:$B$9,2,TRUE()),0))</f>
        <v/>
      </c>
      <c r="O447" s="12"/>
      <c r="P447" s="10" t="str">
        <f t="shared" si="36"/>
        <v/>
      </c>
      <c r="Q447" s="10" t="str">
        <f t="shared" si="37"/>
        <v/>
      </c>
      <c r="R447" s="13"/>
      <c r="S447" s="10" t="str">
        <f t="shared" si="38"/>
        <v/>
      </c>
      <c r="T447" s="8"/>
      <c r="U447" s="7"/>
      <c r="V447" s="13"/>
      <c r="W447" s="9" t="str">
        <f t="shared" si="39"/>
        <v/>
      </c>
      <c r="X447" s="10" t="str">
        <f t="shared" si="40"/>
        <v/>
      </c>
      <c r="Y447" s="8"/>
      <c r="Z447" s="7"/>
      <c r="AA447" s="7"/>
      <c r="AB447" s="7"/>
      <c r="AC447" t="str">
        <f t="shared" si="41"/>
        <v/>
      </c>
    </row>
    <row r="448" spans="1:29" x14ac:dyDescent="0.3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9" t="str">
        <f>IF(J448="","",IFERROR(INDEX(Products!$B$5:$B$89,MATCH(J448,Products!$A$5:$A$89,0)),"Check ID"))</f>
        <v/>
      </c>
      <c r="L448" s="7"/>
      <c r="M448" s="10" t="str">
        <f>IF(J448="","",IFERROR(INDEX(Products!$E$5:$E$89,MATCH(J448,Products!$A$5:$A$89,0)),0))</f>
        <v/>
      </c>
      <c r="N448" s="11" t="str">
        <f>IF(L448="","",IFERROR(VLOOKUP(L448,'Discount Slabs'!$A$5:$B$9,2,TRUE()),0))</f>
        <v/>
      </c>
      <c r="O448" s="12"/>
      <c r="P448" s="10" t="str">
        <f t="shared" si="36"/>
        <v/>
      </c>
      <c r="Q448" s="10" t="str">
        <f t="shared" si="37"/>
        <v/>
      </c>
      <c r="R448" s="13"/>
      <c r="S448" s="10" t="str">
        <f t="shared" si="38"/>
        <v/>
      </c>
      <c r="T448" s="8"/>
      <c r="U448" s="7"/>
      <c r="V448" s="13"/>
      <c r="W448" s="9" t="str">
        <f t="shared" si="39"/>
        <v/>
      </c>
      <c r="X448" s="10" t="str">
        <f t="shared" si="40"/>
        <v/>
      </c>
      <c r="Y448" s="8"/>
      <c r="Z448" s="7"/>
      <c r="AA448" s="7"/>
      <c r="AB448" s="7"/>
      <c r="AC448" t="str">
        <f t="shared" si="41"/>
        <v/>
      </c>
    </row>
    <row r="449" spans="1:29" x14ac:dyDescent="0.3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9" t="str">
        <f>IF(J449="","",IFERROR(INDEX(Products!$B$5:$B$89,MATCH(J449,Products!$A$5:$A$89,0)),"Check ID"))</f>
        <v/>
      </c>
      <c r="L449" s="7"/>
      <c r="M449" s="10" t="str">
        <f>IF(J449="","",IFERROR(INDEX(Products!$E$5:$E$89,MATCH(J449,Products!$A$5:$A$89,0)),0))</f>
        <v/>
      </c>
      <c r="N449" s="11" t="str">
        <f>IF(L449="","",IFERROR(VLOOKUP(L449,'Discount Slabs'!$A$5:$B$9,2,TRUE()),0))</f>
        <v/>
      </c>
      <c r="O449" s="12"/>
      <c r="P449" s="10" t="str">
        <f t="shared" si="36"/>
        <v/>
      </c>
      <c r="Q449" s="10" t="str">
        <f t="shared" si="37"/>
        <v/>
      </c>
      <c r="R449" s="13"/>
      <c r="S449" s="10" t="str">
        <f t="shared" si="38"/>
        <v/>
      </c>
      <c r="T449" s="8"/>
      <c r="U449" s="7"/>
      <c r="V449" s="13"/>
      <c r="W449" s="9" t="str">
        <f t="shared" si="39"/>
        <v/>
      </c>
      <c r="X449" s="10" t="str">
        <f t="shared" si="40"/>
        <v/>
      </c>
      <c r="Y449" s="8"/>
      <c r="Z449" s="7"/>
      <c r="AA449" s="7"/>
      <c r="AB449" s="7"/>
      <c r="AC449" t="str">
        <f t="shared" si="41"/>
        <v/>
      </c>
    </row>
    <row r="450" spans="1:29" x14ac:dyDescent="0.3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9" t="str">
        <f>IF(J450="","",IFERROR(INDEX(Products!$B$5:$B$89,MATCH(J450,Products!$A$5:$A$89,0)),"Check ID"))</f>
        <v/>
      </c>
      <c r="L450" s="7"/>
      <c r="M450" s="10" t="str">
        <f>IF(J450="","",IFERROR(INDEX(Products!$E$5:$E$89,MATCH(J450,Products!$A$5:$A$89,0)),0))</f>
        <v/>
      </c>
      <c r="N450" s="11" t="str">
        <f>IF(L450="","",IFERROR(VLOOKUP(L450,'Discount Slabs'!$A$5:$B$9,2,TRUE()),0))</f>
        <v/>
      </c>
      <c r="O450" s="12"/>
      <c r="P450" s="10" t="str">
        <f t="shared" si="36"/>
        <v/>
      </c>
      <c r="Q450" s="10" t="str">
        <f t="shared" si="37"/>
        <v/>
      </c>
      <c r="R450" s="13"/>
      <c r="S450" s="10" t="str">
        <f t="shared" si="38"/>
        <v/>
      </c>
      <c r="T450" s="8"/>
      <c r="U450" s="7"/>
      <c r="V450" s="13"/>
      <c r="W450" s="9" t="str">
        <f t="shared" si="39"/>
        <v/>
      </c>
      <c r="X450" s="10" t="str">
        <f t="shared" si="40"/>
        <v/>
      </c>
      <c r="Y450" s="8"/>
      <c r="Z450" s="7"/>
      <c r="AA450" s="7"/>
      <c r="AB450" s="7"/>
      <c r="AC450" t="str">
        <f t="shared" si="41"/>
        <v/>
      </c>
    </row>
    <row r="451" spans="1:29" x14ac:dyDescent="0.3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9" t="str">
        <f>IF(J451="","",IFERROR(INDEX(Products!$B$5:$B$89,MATCH(J451,Products!$A$5:$A$89,0)),"Check ID"))</f>
        <v/>
      </c>
      <c r="L451" s="7"/>
      <c r="M451" s="10" t="str">
        <f>IF(J451="","",IFERROR(INDEX(Products!$E$5:$E$89,MATCH(J451,Products!$A$5:$A$89,0)),0))</f>
        <v/>
      </c>
      <c r="N451" s="11" t="str">
        <f>IF(L451="","",IFERROR(VLOOKUP(L451,'Discount Slabs'!$A$5:$B$9,2,TRUE()),0))</f>
        <v/>
      </c>
      <c r="O451" s="12"/>
      <c r="P451" s="10" t="str">
        <f t="shared" si="36"/>
        <v/>
      </c>
      <c r="Q451" s="10" t="str">
        <f t="shared" si="37"/>
        <v/>
      </c>
      <c r="R451" s="13"/>
      <c r="S451" s="10" t="str">
        <f t="shared" si="38"/>
        <v/>
      </c>
      <c r="T451" s="8"/>
      <c r="U451" s="7"/>
      <c r="V451" s="13"/>
      <c r="W451" s="9" t="str">
        <f t="shared" si="39"/>
        <v/>
      </c>
      <c r="X451" s="10" t="str">
        <f t="shared" si="40"/>
        <v/>
      </c>
      <c r="Y451" s="8"/>
      <c r="Z451" s="7"/>
      <c r="AA451" s="7"/>
      <c r="AB451" s="7"/>
      <c r="AC451" t="str">
        <f t="shared" si="41"/>
        <v/>
      </c>
    </row>
    <row r="452" spans="1:29" x14ac:dyDescent="0.3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9" t="str">
        <f>IF(J452="","",IFERROR(INDEX(Products!$B$5:$B$89,MATCH(J452,Products!$A$5:$A$89,0)),"Check ID"))</f>
        <v/>
      </c>
      <c r="L452" s="7"/>
      <c r="M452" s="10" t="str">
        <f>IF(J452="","",IFERROR(INDEX(Products!$E$5:$E$89,MATCH(J452,Products!$A$5:$A$89,0)),0))</f>
        <v/>
      </c>
      <c r="N452" s="11" t="str">
        <f>IF(L452="","",IFERROR(VLOOKUP(L452,'Discount Slabs'!$A$5:$B$9,2,TRUE()),0))</f>
        <v/>
      </c>
      <c r="O452" s="12"/>
      <c r="P452" s="10" t="str">
        <f t="shared" si="36"/>
        <v/>
      </c>
      <c r="Q452" s="10" t="str">
        <f t="shared" si="37"/>
        <v/>
      </c>
      <c r="R452" s="13"/>
      <c r="S452" s="10" t="str">
        <f t="shared" si="38"/>
        <v/>
      </c>
      <c r="T452" s="8"/>
      <c r="U452" s="7"/>
      <c r="V452" s="13"/>
      <c r="W452" s="9" t="str">
        <f t="shared" si="39"/>
        <v/>
      </c>
      <c r="X452" s="10" t="str">
        <f t="shared" si="40"/>
        <v/>
      </c>
      <c r="Y452" s="8"/>
      <c r="Z452" s="7"/>
      <c r="AA452" s="7"/>
      <c r="AB452" s="7"/>
      <c r="AC452" t="str">
        <f t="shared" si="41"/>
        <v/>
      </c>
    </row>
    <row r="453" spans="1:29" x14ac:dyDescent="0.3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9" t="str">
        <f>IF(J453="","",IFERROR(INDEX(Products!$B$5:$B$89,MATCH(J453,Products!$A$5:$A$89,0)),"Check ID"))</f>
        <v/>
      </c>
      <c r="L453" s="7"/>
      <c r="M453" s="10" t="str">
        <f>IF(J453="","",IFERROR(INDEX(Products!$E$5:$E$89,MATCH(J453,Products!$A$5:$A$89,0)),0))</f>
        <v/>
      </c>
      <c r="N453" s="11" t="str">
        <f>IF(L453="","",IFERROR(VLOOKUP(L453,'Discount Slabs'!$A$5:$B$9,2,TRUE()),0))</f>
        <v/>
      </c>
      <c r="O453" s="12"/>
      <c r="P453" s="10" t="str">
        <f t="shared" ref="P453:P504" si="42">IF(OR(J453="",L453=""),"",ROUND(M453*(1-N453-N(O453)),0))</f>
        <v/>
      </c>
      <c r="Q453" s="10" t="str">
        <f t="shared" ref="Q453:Q504" si="43">IF(P453="","",P453*L453)</f>
        <v/>
      </c>
      <c r="R453" s="13"/>
      <c r="S453" s="10" t="str">
        <f t="shared" ref="S453:S504" si="44">IF(Q453="","",Q453+N(R453))</f>
        <v/>
      </c>
      <c r="T453" s="8"/>
      <c r="U453" s="7"/>
      <c r="V453" s="13"/>
      <c r="W453" s="9" t="str">
        <f t="shared" ref="W453:W504" si="45">IF(OR(U453="Advance received",U453="In production",U453="Dispatched",U453="Delivered"),"Won","")</f>
        <v/>
      </c>
      <c r="X453" s="10" t="str">
        <f t="shared" ref="X453:X504" si="46">IF(S453="","",S453-N(V453))</f>
        <v/>
      </c>
      <c r="Y453" s="8"/>
      <c r="Z453" s="7"/>
      <c r="AA453" s="7"/>
      <c r="AB453" s="7"/>
      <c r="AC453" t="str">
        <f t="shared" ref="AC453:AC504" si="47">IF(P453="","",L453*M453)</f>
        <v/>
      </c>
    </row>
    <row r="454" spans="1:29" x14ac:dyDescent="0.3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9" t="str">
        <f>IF(J454="","",IFERROR(INDEX(Products!$B$5:$B$89,MATCH(J454,Products!$A$5:$A$89,0)),"Check ID"))</f>
        <v/>
      </c>
      <c r="L454" s="7"/>
      <c r="M454" s="10" t="str">
        <f>IF(J454="","",IFERROR(INDEX(Products!$E$5:$E$89,MATCH(J454,Products!$A$5:$A$89,0)),0))</f>
        <v/>
      </c>
      <c r="N454" s="11" t="str">
        <f>IF(L454="","",IFERROR(VLOOKUP(L454,'Discount Slabs'!$A$5:$B$9,2,TRUE()),0))</f>
        <v/>
      </c>
      <c r="O454" s="12"/>
      <c r="P454" s="10" t="str">
        <f t="shared" si="42"/>
        <v/>
      </c>
      <c r="Q454" s="10" t="str">
        <f t="shared" si="43"/>
        <v/>
      </c>
      <c r="R454" s="13"/>
      <c r="S454" s="10" t="str">
        <f t="shared" si="44"/>
        <v/>
      </c>
      <c r="T454" s="8"/>
      <c r="U454" s="7"/>
      <c r="V454" s="13"/>
      <c r="W454" s="9" t="str">
        <f t="shared" si="45"/>
        <v/>
      </c>
      <c r="X454" s="10" t="str">
        <f t="shared" si="46"/>
        <v/>
      </c>
      <c r="Y454" s="8"/>
      <c r="Z454" s="7"/>
      <c r="AA454" s="7"/>
      <c r="AB454" s="7"/>
      <c r="AC454" t="str">
        <f t="shared" si="47"/>
        <v/>
      </c>
    </row>
    <row r="455" spans="1:29" x14ac:dyDescent="0.3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9" t="str">
        <f>IF(J455="","",IFERROR(INDEX(Products!$B$5:$B$89,MATCH(J455,Products!$A$5:$A$89,0)),"Check ID"))</f>
        <v/>
      </c>
      <c r="L455" s="7"/>
      <c r="M455" s="10" t="str">
        <f>IF(J455="","",IFERROR(INDEX(Products!$E$5:$E$89,MATCH(J455,Products!$A$5:$A$89,0)),0))</f>
        <v/>
      </c>
      <c r="N455" s="11" t="str">
        <f>IF(L455="","",IFERROR(VLOOKUP(L455,'Discount Slabs'!$A$5:$B$9,2,TRUE()),0))</f>
        <v/>
      </c>
      <c r="O455" s="12"/>
      <c r="P455" s="10" t="str">
        <f t="shared" si="42"/>
        <v/>
      </c>
      <c r="Q455" s="10" t="str">
        <f t="shared" si="43"/>
        <v/>
      </c>
      <c r="R455" s="13"/>
      <c r="S455" s="10" t="str">
        <f t="shared" si="44"/>
        <v/>
      </c>
      <c r="T455" s="8"/>
      <c r="U455" s="7"/>
      <c r="V455" s="13"/>
      <c r="W455" s="9" t="str">
        <f t="shared" si="45"/>
        <v/>
      </c>
      <c r="X455" s="10" t="str">
        <f t="shared" si="46"/>
        <v/>
      </c>
      <c r="Y455" s="8"/>
      <c r="Z455" s="7"/>
      <c r="AA455" s="7"/>
      <c r="AB455" s="7"/>
      <c r="AC455" t="str">
        <f t="shared" si="47"/>
        <v/>
      </c>
    </row>
    <row r="456" spans="1:29" x14ac:dyDescent="0.3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9" t="str">
        <f>IF(J456="","",IFERROR(INDEX(Products!$B$5:$B$89,MATCH(J456,Products!$A$5:$A$89,0)),"Check ID"))</f>
        <v/>
      </c>
      <c r="L456" s="7"/>
      <c r="M456" s="10" t="str">
        <f>IF(J456="","",IFERROR(INDEX(Products!$E$5:$E$89,MATCH(J456,Products!$A$5:$A$89,0)),0))</f>
        <v/>
      </c>
      <c r="N456" s="11" t="str">
        <f>IF(L456="","",IFERROR(VLOOKUP(L456,'Discount Slabs'!$A$5:$B$9,2,TRUE()),0))</f>
        <v/>
      </c>
      <c r="O456" s="12"/>
      <c r="P456" s="10" t="str">
        <f t="shared" si="42"/>
        <v/>
      </c>
      <c r="Q456" s="10" t="str">
        <f t="shared" si="43"/>
        <v/>
      </c>
      <c r="R456" s="13"/>
      <c r="S456" s="10" t="str">
        <f t="shared" si="44"/>
        <v/>
      </c>
      <c r="T456" s="8"/>
      <c r="U456" s="7"/>
      <c r="V456" s="13"/>
      <c r="W456" s="9" t="str">
        <f t="shared" si="45"/>
        <v/>
      </c>
      <c r="X456" s="10" t="str">
        <f t="shared" si="46"/>
        <v/>
      </c>
      <c r="Y456" s="8"/>
      <c r="Z456" s="7"/>
      <c r="AA456" s="7"/>
      <c r="AB456" s="7"/>
      <c r="AC456" t="str">
        <f t="shared" si="47"/>
        <v/>
      </c>
    </row>
    <row r="457" spans="1:29" x14ac:dyDescent="0.3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9" t="str">
        <f>IF(J457="","",IFERROR(INDEX(Products!$B$5:$B$89,MATCH(J457,Products!$A$5:$A$89,0)),"Check ID"))</f>
        <v/>
      </c>
      <c r="L457" s="7"/>
      <c r="M457" s="10" t="str">
        <f>IF(J457="","",IFERROR(INDEX(Products!$E$5:$E$89,MATCH(J457,Products!$A$5:$A$89,0)),0))</f>
        <v/>
      </c>
      <c r="N457" s="11" t="str">
        <f>IF(L457="","",IFERROR(VLOOKUP(L457,'Discount Slabs'!$A$5:$B$9,2,TRUE()),0))</f>
        <v/>
      </c>
      <c r="O457" s="12"/>
      <c r="P457" s="10" t="str">
        <f t="shared" si="42"/>
        <v/>
      </c>
      <c r="Q457" s="10" t="str">
        <f t="shared" si="43"/>
        <v/>
      </c>
      <c r="R457" s="13"/>
      <c r="S457" s="10" t="str">
        <f t="shared" si="44"/>
        <v/>
      </c>
      <c r="T457" s="8"/>
      <c r="U457" s="7"/>
      <c r="V457" s="13"/>
      <c r="W457" s="9" t="str">
        <f t="shared" si="45"/>
        <v/>
      </c>
      <c r="X457" s="10" t="str">
        <f t="shared" si="46"/>
        <v/>
      </c>
      <c r="Y457" s="8"/>
      <c r="Z457" s="7"/>
      <c r="AA457" s="7"/>
      <c r="AB457" s="7"/>
      <c r="AC457" t="str">
        <f t="shared" si="47"/>
        <v/>
      </c>
    </row>
    <row r="458" spans="1:29" x14ac:dyDescent="0.3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9" t="str">
        <f>IF(J458="","",IFERROR(INDEX(Products!$B$5:$B$89,MATCH(J458,Products!$A$5:$A$89,0)),"Check ID"))</f>
        <v/>
      </c>
      <c r="L458" s="7"/>
      <c r="M458" s="10" t="str">
        <f>IF(J458="","",IFERROR(INDEX(Products!$E$5:$E$89,MATCH(J458,Products!$A$5:$A$89,0)),0))</f>
        <v/>
      </c>
      <c r="N458" s="11" t="str">
        <f>IF(L458="","",IFERROR(VLOOKUP(L458,'Discount Slabs'!$A$5:$B$9,2,TRUE()),0))</f>
        <v/>
      </c>
      <c r="O458" s="12"/>
      <c r="P458" s="10" t="str">
        <f t="shared" si="42"/>
        <v/>
      </c>
      <c r="Q458" s="10" t="str">
        <f t="shared" si="43"/>
        <v/>
      </c>
      <c r="R458" s="13"/>
      <c r="S458" s="10" t="str">
        <f t="shared" si="44"/>
        <v/>
      </c>
      <c r="T458" s="8"/>
      <c r="U458" s="7"/>
      <c r="V458" s="13"/>
      <c r="W458" s="9" t="str">
        <f t="shared" si="45"/>
        <v/>
      </c>
      <c r="X458" s="10" t="str">
        <f t="shared" si="46"/>
        <v/>
      </c>
      <c r="Y458" s="8"/>
      <c r="Z458" s="7"/>
      <c r="AA458" s="7"/>
      <c r="AB458" s="7"/>
      <c r="AC458" t="str">
        <f t="shared" si="47"/>
        <v/>
      </c>
    </row>
    <row r="459" spans="1:29" x14ac:dyDescent="0.3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9" t="str">
        <f>IF(J459="","",IFERROR(INDEX(Products!$B$5:$B$89,MATCH(J459,Products!$A$5:$A$89,0)),"Check ID"))</f>
        <v/>
      </c>
      <c r="L459" s="7"/>
      <c r="M459" s="10" t="str">
        <f>IF(J459="","",IFERROR(INDEX(Products!$E$5:$E$89,MATCH(J459,Products!$A$5:$A$89,0)),0))</f>
        <v/>
      </c>
      <c r="N459" s="11" t="str">
        <f>IF(L459="","",IFERROR(VLOOKUP(L459,'Discount Slabs'!$A$5:$B$9,2,TRUE()),0))</f>
        <v/>
      </c>
      <c r="O459" s="12"/>
      <c r="P459" s="10" t="str">
        <f t="shared" si="42"/>
        <v/>
      </c>
      <c r="Q459" s="10" t="str">
        <f t="shared" si="43"/>
        <v/>
      </c>
      <c r="R459" s="13"/>
      <c r="S459" s="10" t="str">
        <f t="shared" si="44"/>
        <v/>
      </c>
      <c r="T459" s="8"/>
      <c r="U459" s="7"/>
      <c r="V459" s="13"/>
      <c r="W459" s="9" t="str">
        <f t="shared" si="45"/>
        <v/>
      </c>
      <c r="X459" s="10" t="str">
        <f t="shared" si="46"/>
        <v/>
      </c>
      <c r="Y459" s="8"/>
      <c r="Z459" s="7"/>
      <c r="AA459" s="7"/>
      <c r="AB459" s="7"/>
      <c r="AC459" t="str">
        <f t="shared" si="47"/>
        <v/>
      </c>
    </row>
    <row r="460" spans="1:29" x14ac:dyDescent="0.3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9" t="str">
        <f>IF(J460="","",IFERROR(INDEX(Products!$B$5:$B$89,MATCH(J460,Products!$A$5:$A$89,0)),"Check ID"))</f>
        <v/>
      </c>
      <c r="L460" s="7"/>
      <c r="M460" s="10" t="str">
        <f>IF(J460="","",IFERROR(INDEX(Products!$E$5:$E$89,MATCH(J460,Products!$A$5:$A$89,0)),0))</f>
        <v/>
      </c>
      <c r="N460" s="11" t="str">
        <f>IF(L460="","",IFERROR(VLOOKUP(L460,'Discount Slabs'!$A$5:$B$9,2,TRUE()),0))</f>
        <v/>
      </c>
      <c r="O460" s="12"/>
      <c r="P460" s="10" t="str">
        <f t="shared" si="42"/>
        <v/>
      </c>
      <c r="Q460" s="10" t="str">
        <f t="shared" si="43"/>
        <v/>
      </c>
      <c r="R460" s="13"/>
      <c r="S460" s="10" t="str">
        <f t="shared" si="44"/>
        <v/>
      </c>
      <c r="T460" s="8"/>
      <c r="U460" s="7"/>
      <c r="V460" s="13"/>
      <c r="W460" s="9" t="str">
        <f t="shared" si="45"/>
        <v/>
      </c>
      <c r="X460" s="10" t="str">
        <f t="shared" si="46"/>
        <v/>
      </c>
      <c r="Y460" s="8"/>
      <c r="Z460" s="7"/>
      <c r="AA460" s="7"/>
      <c r="AB460" s="7"/>
      <c r="AC460" t="str">
        <f t="shared" si="47"/>
        <v/>
      </c>
    </row>
    <row r="461" spans="1:29" x14ac:dyDescent="0.3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9" t="str">
        <f>IF(J461="","",IFERROR(INDEX(Products!$B$5:$B$89,MATCH(J461,Products!$A$5:$A$89,0)),"Check ID"))</f>
        <v/>
      </c>
      <c r="L461" s="7"/>
      <c r="M461" s="10" t="str">
        <f>IF(J461="","",IFERROR(INDEX(Products!$E$5:$E$89,MATCH(J461,Products!$A$5:$A$89,0)),0))</f>
        <v/>
      </c>
      <c r="N461" s="11" t="str">
        <f>IF(L461="","",IFERROR(VLOOKUP(L461,'Discount Slabs'!$A$5:$B$9,2,TRUE()),0))</f>
        <v/>
      </c>
      <c r="O461" s="12"/>
      <c r="P461" s="10" t="str">
        <f t="shared" si="42"/>
        <v/>
      </c>
      <c r="Q461" s="10" t="str">
        <f t="shared" si="43"/>
        <v/>
      </c>
      <c r="R461" s="13"/>
      <c r="S461" s="10" t="str">
        <f t="shared" si="44"/>
        <v/>
      </c>
      <c r="T461" s="8"/>
      <c r="U461" s="7"/>
      <c r="V461" s="13"/>
      <c r="W461" s="9" t="str">
        <f t="shared" si="45"/>
        <v/>
      </c>
      <c r="X461" s="10" t="str">
        <f t="shared" si="46"/>
        <v/>
      </c>
      <c r="Y461" s="8"/>
      <c r="Z461" s="7"/>
      <c r="AA461" s="7"/>
      <c r="AB461" s="7"/>
      <c r="AC461" t="str">
        <f t="shared" si="47"/>
        <v/>
      </c>
    </row>
    <row r="462" spans="1:29" x14ac:dyDescent="0.3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9" t="str">
        <f>IF(J462="","",IFERROR(INDEX(Products!$B$5:$B$89,MATCH(J462,Products!$A$5:$A$89,0)),"Check ID"))</f>
        <v/>
      </c>
      <c r="L462" s="7"/>
      <c r="M462" s="10" t="str">
        <f>IF(J462="","",IFERROR(INDEX(Products!$E$5:$E$89,MATCH(J462,Products!$A$5:$A$89,0)),0))</f>
        <v/>
      </c>
      <c r="N462" s="11" t="str">
        <f>IF(L462="","",IFERROR(VLOOKUP(L462,'Discount Slabs'!$A$5:$B$9,2,TRUE()),0))</f>
        <v/>
      </c>
      <c r="O462" s="12"/>
      <c r="P462" s="10" t="str">
        <f t="shared" si="42"/>
        <v/>
      </c>
      <c r="Q462" s="10" t="str">
        <f t="shared" si="43"/>
        <v/>
      </c>
      <c r="R462" s="13"/>
      <c r="S462" s="10" t="str">
        <f t="shared" si="44"/>
        <v/>
      </c>
      <c r="T462" s="8"/>
      <c r="U462" s="7"/>
      <c r="V462" s="13"/>
      <c r="W462" s="9" t="str">
        <f t="shared" si="45"/>
        <v/>
      </c>
      <c r="X462" s="10" t="str">
        <f t="shared" si="46"/>
        <v/>
      </c>
      <c r="Y462" s="8"/>
      <c r="Z462" s="7"/>
      <c r="AA462" s="7"/>
      <c r="AB462" s="7"/>
      <c r="AC462" t="str">
        <f t="shared" si="47"/>
        <v/>
      </c>
    </row>
    <row r="463" spans="1:29" x14ac:dyDescent="0.3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9" t="str">
        <f>IF(J463="","",IFERROR(INDEX(Products!$B$5:$B$89,MATCH(J463,Products!$A$5:$A$89,0)),"Check ID"))</f>
        <v/>
      </c>
      <c r="L463" s="7"/>
      <c r="M463" s="10" t="str">
        <f>IF(J463="","",IFERROR(INDEX(Products!$E$5:$E$89,MATCH(J463,Products!$A$5:$A$89,0)),0))</f>
        <v/>
      </c>
      <c r="N463" s="11" t="str">
        <f>IF(L463="","",IFERROR(VLOOKUP(L463,'Discount Slabs'!$A$5:$B$9,2,TRUE()),0))</f>
        <v/>
      </c>
      <c r="O463" s="12"/>
      <c r="P463" s="10" t="str">
        <f t="shared" si="42"/>
        <v/>
      </c>
      <c r="Q463" s="10" t="str">
        <f t="shared" si="43"/>
        <v/>
      </c>
      <c r="R463" s="13"/>
      <c r="S463" s="10" t="str">
        <f t="shared" si="44"/>
        <v/>
      </c>
      <c r="T463" s="8"/>
      <c r="U463" s="7"/>
      <c r="V463" s="13"/>
      <c r="W463" s="9" t="str">
        <f t="shared" si="45"/>
        <v/>
      </c>
      <c r="X463" s="10" t="str">
        <f t="shared" si="46"/>
        <v/>
      </c>
      <c r="Y463" s="8"/>
      <c r="Z463" s="7"/>
      <c r="AA463" s="7"/>
      <c r="AB463" s="7"/>
      <c r="AC463" t="str">
        <f t="shared" si="47"/>
        <v/>
      </c>
    </row>
    <row r="464" spans="1:29" x14ac:dyDescent="0.3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9" t="str">
        <f>IF(J464="","",IFERROR(INDEX(Products!$B$5:$B$89,MATCH(J464,Products!$A$5:$A$89,0)),"Check ID"))</f>
        <v/>
      </c>
      <c r="L464" s="7"/>
      <c r="M464" s="10" t="str">
        <f>IF(J464="","",IFERROR(INDEX(Products!$E$5:$E$89,MATCH(J464,Products!$A$5:$A$89,0)),0))</f>
        <v/>
      </c>
      <c r="N464" s="11" t="str">
        <f>IF(L464="","",IFERROR(VLOOKUP(L464,'Discount Slabs'!$A$5:$B$9,2,TRUE()),0))</f>
        <v/>
      </c>
      <c r="O464" s="12"/>
      <c r="P464" s="10" t="str">
        <f t="shared" si="42"/>
        <v/>
      </c>
      <c r="Q464" s="10" t="str">
        <f t="shared" si="43"/>
        <v/>
      </c>
      <c r="R464" s="13"/>
      <c r="S464" s="10" t="str">
        <f t="shared" si="44"/>
        <v/>
      </c>
      <c r="T464" s="8"/>
      <c r="U464" s="7"/>
      <c r="V464" s="13"/>
      <c r="W464" s="9" t="str">
        <f t="shared" si="45"/>
        <v/>
      </c>
      <c r="X464" s="10" t="str">
        <f t="shared" si="46"/>
        <v/>
      </c>
      <c r="Y464" s="8"/>
      <c r="Z464" s="7"/>
      <c r="AA464" s="7"/>
      <c r="AB464" s="7"/>
      <c r="AC464" t="str">
        <f t="shared" si="47"/>
        <v/>
      </c>
    </row>
    <row r="465" spans="1:29" x14ac:dyDescent="0.3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9" t="str">
        <f>IF(J465="","",IFERROR(INDEX(Products!$B$5:$B$89,MATCH(J465,Products!$A$5:$A$89,0)),"Check ID"))</f>
        <v/>
      </c>
      <c r="L465" s="7"/>
      <c r="M465" s="10" t="str">
        <f>IF(J465="","",IFERROR(INDEX(Products!$E$5:$E$89,MATCH(J465,Products!$A$5:$A$89,0)),0))</f>
        <v/>
      </c>
      <c r="N465" s="11" t="str">
        <f>IF(L465="","",IFERROR(VLOOKUP(L465,'Discount Slabs'!$A$5:$B$9,2,TRUE()),0))</f>
        <v/>
      </c>
      <c r="O465" s="12"/>
      <c r="P465" s="10" t="str">
        <f t="shared" si="42"/>
        <v/>
      </c>
      <c r="Q465" s="10" t="str">
        <f t="shared" si="43"/>
        <v/>
      </c>
      <c r="R465" s="13"/>
      <c r="S465" s="10" t="str">
        <f t="shared" si="44"/>
        <v/>
      </c>
      <c r="T465" s="8"/>
      <c r="U465" s="7"/>
      <c r="V465" s="13"/>
      <c r="W465" s="9" t="str">
        <f t="shared" si="45"/>
        <v/>
      </c>
      <c r="X465" s="10" t="str">
        <f t="shared" si="46"/>
        <v/>
      </c>
      <c r="Y465" s="8"/>
      <c r="Z465" s="7"/>
      <c r="AA465" s="7"/>
      <c r="AB465" s="7"/>
      <c r="AC465" t="str">
        <f t="shared" si="47"/>
        <v/>
      </c>
    </row>
    <row r="466" spans="1:29" x14ac:dyDescent="0.3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9" t="str">
        <f>IF(J466="","",IFERROR(INDEX(Products!$B$5:$B$89,MATCH(J466,Products!$A$5:$A$89,0)),"Check ID"))</f>
        <v/>
      </c>
      <c r="L466" s="7"/>
      <c r="M466" s="10" t="str">
        <f>IF(J466="","",IFERROR(INDEX(Products!$E$5:$E$89,MATCH(J466,Products!$A$5:$A$89,0)),0))</f>
        <v/>
      </c>
      <c r="N466" s="11" t="str">
        <f>IF(L466="","",IFERROR(VLOOKUP(L466,'Discount Slabs'!$A$5:$B$9,2,TRUE()),0))</f>
        <v/>
      </c>
      <c r="O466" s="12"/>
      <c r="P466" s="10" t="str">
        <f t="shared" si="42"/>
        <v/>
      </c>
      <c r="Q466" s="10" t="str">
        <f t="shared" si="43"/>
        <v/>
      </c>
      <c r="R466" s="13"/>
      <c r="S466" s="10" t="str">
        <f t="shared" si="44"/>
        <v/>
      </c>
      <c r="T466" s="8"/>
      <c r="U466" s="7"/>
      <c r="V466" s="13"/>
      <c r="W466" s="9" t="str">
        <f t="shared" si="45"/>
        <v/>
      </c>
      <c r="X466" s="10" t="str">
        <f t="shared" si="46"/>
        <v/>
      </c>
      <c r="Y466" s="8"/>
      <c r="Z466" s="7"/>
      <c r="AA466" s="7"/>
      <c r="AB466" s="7"/>
      <c r="AC466" t="str">
        <f t="shared" si="47"/>
        <v/>
      </c>
    </row>
    <row r="467" spans="1:29" x14ac:dyDescent="0.3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9" t="str">
        <f>IF(J467="","",IFERROR(INDEX(Products!$B$5:$B$89,MATCH(J467,Products!$A$5:$A$89,0)),"Check ID"))</f>
        <v/>
      </c>
      <c r="L467" s="7"/>
      <c r="M467" s="10" t="str">
        <f>IF(J467="","",IFERROR(INDEX(Products!$E$5:$E$89,MATCH(J467,Products!$A$5:$A$89,0)),0))</f>
        <v/>
      </c>
      <c r="N467" s="11" t="str">
        <f>IF(L467="","",IFERROR(VLOOKUP(L467,'Discount Slabs'!$A$5:$B$9,2,TRUE()),0))</f>
        <v/>
      </c>
      <c r="O467" s="12"/>
      <c r="P467" s="10" t="str">
        <f t="shared" si="42"/>
        <v/>
      </c>
      <c r="Q467" s="10" t="str">
        <f t="shared" si="43"/>
        <v/>
      </c>
      <c r="R467" s="13"/>
      <c r="S467" s="10" t="str">
        <f t="shared" si="44"/>
        <v/>
      </c>
      <c r="T467" s="8"/>
      <c r="U467" s="7"/>
      <c r="V467" s="13"/>
      <c r="W467" s="9" t="str">
        <f t="shared" si="45"/>
        <v/>
      </c>
      <c r="X467" s="10" t="str">
        <f t="shared" si="46"/>
        <v/>
      </c>
      <c r="Y467" s="8"/>
      <c r="Z467" s="7"/>
      <c r="AA467" s="7"/>
      <c r="AB467" s="7"/>
      <c r="AC467" t="str">
        <f t="shared" si="47"/>
        <v/>
      </c>
    </row>
    <row r="468" spans="1:29" x14ac:dyDescent="0.3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9" t="str">
        <f>IF(J468="","",IFERROR(INDEX(Products!$B$5:$B$89,MATCH(J468,Products!$A$5:$A$89,0)),"Check ID"))</f>
        <v/>
      </c>
      <c r="L468" s="7"/>
      <c r="M468" s="10" t="str">
        <f>IF(J468="","",IFERROR(INDEX(Products!$E$5:$E$89,MATCH(J468,Products!$A$5:$A$89,0)),0))</f>
        <v/>
      </c>
      <c r="N468" s="11" t="str">
        <f>IF(L468="","",IFERROR(VLOOKUP(L468,'Discount Slabs'!$A$5:$B$9,2,TRUE()),0))</f>
        <v/>
      </c>
      <c r="O468" s="12"/>
      <c r="P468" s="10" t="str">
        <f t="shared" si="42"/>
        <v/>
      </c>
      <c r="Q468" s="10" t="str">
        <f t="shared" si="43"/>
        <v/>
      </c>
      <c r="R468" s="13"/>
      <c r="S468" s="10" t="str">
        <f t="shared" si="44"/>
        <v/>
      </c>
      <c r="T468" s="8"/>
      <c r="U468" s="7"/>
      <c r="V468" s="13"/>
      <c r="W468" s="9" t="str">
        <f t="shared" si="45"/>
        <v/>
      </c>
      <c r="X468" s="10" t="str">
        <f t="shared" si="46"/>
        <v/>
      </c>
      <c r="Y468" s="8"/>
      <c r="Z468" s="7"/>
      <c r="AA468" s="7"/>
      <c r="AB468" s="7"/>
      <c r="AC468" t="str">
        <f t="shared" si="47"/>
        <v/>
      </c>
    </row>
    <row r="469" spans="1:29" x14ac:dyDescent="0.3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9" t="str">
        <f>IF(J469="","",IFERROR(INDEX(Products!$B$5:$B$89,MATCH(J469,Products!$A$5:$A$89,0)),"Check ID"))</f>
        <v/>
      </c>
      <c r="L469" s="7"/>
      <c r="M469" s="10" t="str">
        <f>IF(J469="","",IFERROR(INDEX(Products!$E$5:$E$89,MATCH(J469,Products!$A$5:$A$89,0)),0))</f>
        <v/>
      </c>
      <c r="N469" s="11" t="str">
        <f>IF(L469="","",IFERROR(VLOOKUP(L469,'Discount Slabs'!$A$5:$B$9,2,TRUE()),0))</f>
        <v/>
      </c>
      <c r="O469" s="12"/>
      <c r="P469" s="10" t="str">
        <f t="shared" si="42"/>
        <v/>
      </c>
      <c r="Q469" s="10" t="str">
        <f t="shared" si="43"/>
        <v/>
      </c>
      <c r="R469" s="13"/>
      <c r="S469" s="10" t="str">
        <f t="shared" si="44"/>
        <v/>
      </c>
      <c r="T469" s="8"/>
      <c r="U469" s="7"/>
      <c r="V469" s="13"/>
      <c r="W469" s="9" t="str">
        <f t="shared" si="45"/>
        <v/>
      </c>
      <c r="X469" s="10" t="str">
        <f t="shared" si="46"/>
        <v/>
      </c>
      <c r="Y469" s="8"/>
      <c r="Z469" s="7"/>
      <c r="AA469" s="7"/>
      <c r="AB469" s="7"/>
      <c r="AC469" t="str">
        <f t="shared" si="47"/>
        <v/>
      </c>
    </row>
    <row r="470" spans="1:29" x14ac:dyDescent="0.3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9" t="str">
        <f>IF(J470="","",IFERROR(INDEX(Products!$B$5:$B$89,MATCH(J470,Products!$A$5:$A$89,0)),"Check ID"))</f>
        <v/>
      </c>
      <c r="L470" s="7"/>
      <c r="M470" s="10" t="str">
        <f>IF(J470="","",IFERROR(INDEX(Products!$E$5:$E$89,MATCH(J470,Products!$A$5:$A$89,0)),0))</f>
        <v/>
      </c>
      <c r="N470" s="11" t="str">
        <f>IF(L470="","",IFERROR(VLOOKUP(L470,'Discount Slabs'!$A$5:$B$9,2,TRUE()),0))</f>
        <v/>
      </c>
      <c r="O470" s="12"/>
      <c r="P470" s="10" t="str">
        <f t="shared" si="42"/>
        <v/>
      </c>
      <c r="Q470" s="10" t="str">
        <f t="shared" si="43"/>
        <v/>
      </c>
      <c r="R470" s="13"/>
      <c r="S470" s="10" t="str">
        <f t="shared" si="44"/>
        <v/>
      </c>
      <c r="T470" s="8"/>
      <c r="U470" s="7"/>
      <c r="V470" s="13"/>
      <c r="W470" s="9" t="str">
        <f t="shared" si="45"/>
        <v/>
      </c>
      <c r="X470" s="10" t="str">
        <f t="shared" si="46"/>
        <v/>
      </c>
      <c r="Y470" s="8"/>
      <c r="Z470" s="7"/>
      <c r="AA470" s="7"/>
      <c r="AB470" s="7"/>
      <c r="AC470" t="str">
        <f t="shared" si="47"/>
        <v/>
      </c>
    </row>
    <row r="471" spans="1:29" x14ac:dyDescent="0.3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9" t="str">
        <f>IF(J471="","",IFERROR(INDEX(Products!$B$5:$B$89,MATCH(J471,Products!$A$5:$A$89,0)),"Check ID"))</f>
        <v/>
      </c>
      <c r="L471" s="7"/>
      <c r="M471" s="10" t="str">
        <f>IF(J471="","",IFERROR(INDEX(Products!$E$5:$E$89,MATCH(J471,Products!$A$5:$A$89,0)),0))</f>
        <v/>
      </c>
      <c r="N471" s="11" t="str">
        <f>IF(L471="","",IFERROR(VLOOKUP(L471,'Discount Slabs'!$A$5:$B$9,2,TRUE()),0))</f>
        <v/>
      </c>
      <c r="O471" s="12"/>
      <c r="P471" s="10" t="str">
        <f t="shared" si="42"/>
        <v/>
      </c>
      <c r="Q471" s="10" t="str">
        <f t="shared" si="43"/>
        <v/>
      </c>
      <c r="R471" s="13"/>
      <c r="S471" s="10" t="str">
        <f t="shared" si="44"/>
        <v/>
      </c>
      <c r="T471" s="8"/>
      <c r="U471" s="7"/>
      <c r="V471" s="13"/>
      <c r="W471" s="9" t="str">
        <f t="shared" si="45"/>
        <v/>
      </c>
      <c r="X471" s="10" t="str">
        <f t="shared" si="46"/>
        <v/>
      </c>
      <c r="Y471" s="8"/>
      <c r="Z471" s="7"/>
      <c r="AA471" s="7"/>
      <c r="AB471" s="7"/>
      <c r="AC471" t="str">
        <f t="shared" si="47"/>
        <v/>
      </c>
    </row>
    <row r="472" spans="1:29" x14ac:dyDescent="0.3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9" t="str">
        <f>IF(J472="","",IFERROR(INDEX(Products!$B$5:$B$89,MATCH(J472,Products!$A$5:$A$89,0)),"Check ID"))</f>
        <v/>
      </c>
      <c r="L472" s="7"/>
      <c r="M472" s="10" t="str">
        <f>IF(J472="","",IFERROR(INDEX(Products!$E$5:$E$89,MATCH(J472,Products!$A$5:$A$89,0)),0))</f>
        <v/>
      </c>
      <c r="N472" s="11" t="str">
        <f>IF(L472="","",IFERROR(VLOOKUP(L472,'Discount Slabs'!$A$5:$B$9,2,TRUE()),0))</f>
        <v/>
      </c>
      <c r="O472" s="12"/>
      <c r="P472" s="10" t="str">
        <f t="shared" si="42"/>
        <v/>
      </c>
      <c r="Q472" s="10" t="str">
        <f t="shared" si="43"/>
        <v/>
      </c>
      <c r="R472" s="13"/>
      <c r="S472" s="10" t="str">
        <f t="shared" si="44"/>
        <v/>
      </c>
      <c r="T472" s="8"/>
      <c r="U472" s="7"/>
      <c r="V472" s="13"/>
      <c r="W472" s="9" t="str">
        <f t="shared" si="45"/>
        <v/>
      </c>
      <c r="X472" s="10" t="str">
        <f t="shared" si="46"/>
        <v/>
      </c>
      <c r="Y472" s="8"/>
      <c r="Z472" s="7"/>
      <c r="AA472" s="7"/>
      <c r="AB472" s="7"/>
      <c r="AC472" t="str">
        <f t="shared" si="47"/>
        <v/>
      </c>
    </row>
    <row r="473" spans="1:29" x14ac:dyDescent="0.3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9" t="str">
        <f>IF(J473="","",IFERROR(INDEX(Products!$B$5:$B$89,MATCH(J473,Products!$A$5:$A$89,0)),"Check ID"))</f>
        <v/>
      </c>
      <c r="L473" s="7"/>
      <c r="M473" s="10" t="str">
        <f>IF(J473="","",IFERROR(INDEX(Products!$E$5:$E$89,MATCH(J473,Products!$A$5:$A$89,0)),0))</f>
        <v/>
      </c>
      <c r="N473" s="11" t="str">
        <f>IF(L473="","",IFERROR(VLOOKUP(L473,'Discount Slabs'!$A$5:$B$9,2,TRUE()),0))</f>
        <v/>
      </c>
      <c r="O473" s="12"/>
      <c r="P473" s="10" t="str">
        <f t="shared" si="42"/>
        <v/>
      </c>
      <c r="Q473" s="10" t="str">
        <f t="shared" si="43"/>
        <v/>
      </c>
      <c r="R473" s="13"/>
      <c r="S473" s="10" t="str">
        <f t="shared" si="44"/>
        <v/>
      </c>
      <c r="T473" s="8"/>
      <c r="U473" s="7"/>
      <c r="V473" s="13"/>
      <c r="W473" s="9" t="str">
        <f t="shared" si="45"/>
        <v/>
      </c>
      <c r="X473" s="10" t="str">
        <f t="shared" si="46"/>
        <v/>
      </c>
      <c r="Y473" s="8"/>
      <c r="Z473" s="7"/>
      <c r="AA473" s="7"/>
      <c r="AB473" s="7"/>
      <c r="AC473" t="str">
        <f t="shared" si="47"/>
        <v/>
      </c>
    </row>
    <row r="474" spans="1:29" x14ac:dyDescent="0.3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9" t="str">
        <f>IF(J474="","",IFERROR(INDEX(Products!$B$5:$B$89,MATCH(J474,Products!$A$5:$A$89,0)),"Check ID"))</f>
        <v/>
      </c>
      <c r="L474" s="7"/>
      <c r="M474" s="10" t="str">
        <f>IF(J474="","",IFERROR(INDEX(Products!$E$5:$E$89,MATCH(J474,Products!$A$5:$A$89,0)),0))</f>
        <v/>
      </c>
      <c r="N474" s="11" t="str">
        <f>IF(L474="","",IFERROR(VLOOKUP(L474,'Discount Slabs'!$A$5:$B$9,2,TRUE()),0))</f>
        <v/>
      </c>
      <c r="O474" s="12"/>
      <c r="P474" s="10" t="str">
        <f t="shared" si="42"/>
        <v/>
      </c>
      <c r="Q474" s="10" t="str">
        <f t="shared" si="43"/>
        <v/>
      </c>
      <c r="R474" s="13"/>
      <c r="S474" s="10" t="str">
        <f t="shared" si="44"/>
        <v/>
      </c>
      <c r="T474" s="8"/>
      <c r="U474" s="7"/>
      <c r="V474" s="13"/>
      <c r="W474" s="9" t="str">
        <f t="shared" si="45"/>
        <v/>
      </c>
      <c r="X474" s="10" t="str">
        <f t="shared" si="46"/>
        <v/>
      </c>
      <c r="Y474" s="8"/>
      <c r="Z474" s="7"/>
      <c r="AA474" s="7"/>
      <c r="AB474" s="7"/>
      <c r="AC474" t="str">
        <f t="shared" si="47"/>
        <v/>
      </c>
    </row>
    <row r="475" spans="1:29" x14ac:dyDescent="0.3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9" t="str">
        <f>IF(J475="","",IFERROR(INDEX(Products!$B$5:$B$89,MATCH(J475,Products!$A$5:$A$89,0)),"Check ID"))</f>
        <v/>
      </c>
      <c r="L475" s="7"/>
      <c r="M475" s="10" t="str">
        <f>IF(J475="","",IFERROR(INDEX(Products!$E$5:$E$89,MATCH(J475,Products!$A$5:$A$89,0)),0))</f>
        <v/>
      </c>
      <c r="N475" s="11" t="str">
        <f>IF(L475="","",IFERROR(VLOOKUP(L475,'Discount Slabs'!$A$5:$B$9,2,TRUE()),0))</f>
        <v/>
      </c>
      <c r="O475" s="12"/>
      <c r="P475" s="10" t="str">
        <f t="shared" si="42"/>
        <v/>
      </c>
      <c r="Q475" s="10" t="str">
        <f t="shared" si="43"/>
        <v/>
      </c>
      <c r="R475" s="13"/>
      <c r="S475" s="10" t="str">
        <f t="shared" si="44"/>
        <v/>
      </c>
      <c r="T475" s="8"/>
      <c r="U475" s="7"/>
      <c r="V475" s="13"/>
      <c r="W475" s="9" t="str">
        <f t="shared" si="45"/>
        <v/>
      </c>
      <c r="X475" s="10" t="str">
        <f t="shared" si="46"/>
        <v/>
      </c>
      <c r="Y475" s="8"/>
      <c r="Z475" s="7"/>
      <c r="AA475" s="7"/>
      <c r="AB475" s="7"/>
      <c r="AC475" t="str">
        <f t="shared" si="47"/>
        <v/>
      </c>
    </row>
    <row r="476" spans="1:29" x14ac:dyDescent="0.3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9" t="str">
        <f>IF(J476="","",IFERROR(INDEX(Products!$B$5:$B$89,MATCH(J476,Products!$A$5:$A$89,0)),"Check ID"))</f>
        <v/>
      </c>
      <c r="L476" s="7"/>
      <c r="M476" s="10" t="str">
        <f>IF(J476="","",IFERROR(INDEX(Products!$E$5:$E$89,MATCH(J476,Products!$A$5:$A$89,0)),0))</f>
        <v/>
      </c>
      <c r="N476" s="11" t="str">
        <f>IF(L476="","",IFERROR(VLOOKUP(L476,'Discount Slabs'!$A$5:$B$9,2,TRUE()),0))</f>
        <v/>
      </c>
      <c r="O476" s="12"/>
      <c r="P476" s="10" t="str">
        <f t="shared" si="42"/>
        <v/>
      </c>
      <c r="Q476" s="10" t="str">
        <f t="shared" si="43"/>
        <v/>
      </c>
      <c r="R476" s="13"/>
      <c r="S476" s="10" t="str">
        <f t="shared" si="44"/>
        <v/>
      </c>
      <c r="T476" s="8"/>
      <c r="U476" s="7"/>
      <c r="V476" s="13"/>
      <c r="W476" s="9" t="str">
        <f t="shared" si="45"/>
        <v/>
      </c>
      <c r="X476" s="10" t="str">
        <f t="shared" si="46"/>
        <v/>
      </c>
      <c r="Y476" s="8"/>
      <c r="Z476" s="7"/>
      <c r="AA476" s="7"/>
      <c r="AB476" s="7"/>
      <c r="AC476" t="str">
        <f t="shared" si="47"/>
        <v/>
      </c>
    </row>
    <row r="477" spans="1:29" x14ac:dyDescent="0.3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9" t="str">
        <f>IF(J477="","",IFERROR(INDEX(Products!$B$5:$B$89,MATCH(J477,Products!$A$5:$A$89,0)),"Check ID"))</f>
        <v/>
      </c>
      <c r="L477" s="7"/>
      <c r="M477" s="10" t="str">
        <f>IF(J477="","",IFERROR(INDEX(Products!$E$5:$E$89,MATCH(J477,Products!$A$5:$A$89,0)),0))</f>
        <v/>
      </c>
      <c r="N477" s="11" t="str">
        <f>IF(L477="","",IFERROR(VLOOKUP(L477,'Discount Slabs'!$A$5:$B$9,2,TRUE()),0))</f>
        <v/>
      </c>
      <c r="O477" s="12"/>
      <c r="P477" s="10" t="str">
        <f t="shared" si="42"/>
        <v/>
      </c>
      <c r="Q477" s="10" t="str">
        <f t="shared" si="43"/>
        <v/>
      </c>
      <c r="R477" s="13"/>
      <c r="S477" s="10" t="str">
        <f t="shared" si="44"/>
        <v/>
      </c>
      <c r="T477" s="8"/>
      <c r="U477" s="7"/>
      <c r="V477" s="13"/>
      <c r="W477" s="9" t="str">
        <f t="shared" si="45"/>
        <v/>
      </c>
      <c r="X477" s="10" t="str">
        <f t="shared" si="46"/>
        <v/>
      </c>
      <c r="Y477" s="8"/>
      <c r="Z477" s="7"/>
      <c r="AA477" s="7"/>
      <c r="AB477" s="7"/>
      <c r="AC477" t="str">
        <f t="shared" si="47"/>
        <v/>
      </c>
    </row>
    <row r="478" spans="1:29" x14ac:dyDescent="0.3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9" t="str">
        <f>IF(J478="","",IFERROR(INDEX(Products!$B$5:$B$89,MATCH(J478,Products!$A$5:$A$89,0)),"Check ID"))</f>
        <v/>
      </c>
      <c r="L478" s="7"/>
      <c r="M478" s="10" t="str">
        <f>IF(J478="","",IFERROR(INDEX(Products!$E$5:$E$89,MATCH(J478,Products!$A$5:$A$89,0)),0))</f>
        <v/>
      </c>
      <c r="N478" s="11" t="str">
        <f>IF(L478="","",IFERROR(VLOOKUP(L478,'Discount Slabs'!$A$5:$B$9,2,TRUE()),0))</f>
        <v/>
      </c>
      <c r="O478" s="12"/>
      <c r="P478" s="10" t="str">
        <f t="shared" si="42"/>
        <v/>
      </c>
      <c r="Q478" s="10" t="str">
        <f t="shared" si="43"/>
        <v/>
      </c>
      <c r="R478" s="13"/>
      <c r="S478" s="10" t="str">
        <f t="shared" si="44"/>
        <v/>
      </c>
      <c r="T478" s="8"/>
      <c r="U478" s="7"/>
      <c r="V478" s="13"/>
      <c r="W478" s="9" t="str">
        <f t="shared" si="45"/>
        <v/>
      </c>
      <c r="X478" s="10" t="str">
        <f t="shared" si="46"/>
        <v/>
      </c>
      <c r="Y478" s="8"/>
      <c r="Z478" s="7"/>
      <c r="AA478" s="7"/>
      <c r="AB478" s="7"/>
      <c r="AC478" t="str">
        <f t="shared" si="47"/>
        <v/>
      </c>
    </row>
    <row r="479" spans="1:29" x14ac:dyDescent="0.3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9" t="str">
        <f>IF(J479="","",IFERROR(INDEX(Products!$B$5:$B$89,MATCH(J479,Products!$A$5:$A$89,0)),"Check ID"))</f>
        <v/>
      </c>
      <c r="L479" s="7"/>
      <c r="M479" s="10" t="str">
        <f>IF(J479="","",IFERROR(INDEX(Products!$E$5:$E$89,MATCH(J479,Products!$A$5:$A$89,0)),0))</f>
        <v/>
      </c>
      <c r="N479" s="11" t="str">
        <f>IF(L479="","",IFERROR(VLOOKUP(L479,'Discount Slabs'!$A$5:$B$9,2,TRUE()),0))</f>
        <v/>
      </c>
      <c r="O479" s="12"/>
      <c r="P479" s="10" t="str">
        <f t="shared" si="42"/>
        <v/>
      </c>
      <c r="Q479" s="10" t="str">
        <f t="shared" si="43"/>
        <v/>
      </c>
      <c r="R479" s="13"/>
      <c r="S479" s="10" t="str">
        <f t="shared" si="44"/>
        <v/>
      </c>
      <c r="T479" s="8"/>
      <c r="U479" s="7"/>
      <c r="V479" s="13"/>
      <c r="W479" s="9" t="str">
        <f t="shared" si="45"/>
        <v/>
      </c>
      <c r="X479" s="10" t="str">
        <f t="shared" si="46"/>
        <v/>
      </c>
      <c r="Y479" s="8"/>
      <c r="Z479" s="7"/>
      <c r="AA479" s="7"/>
      <c r="AB479" s="7"/>
      <c r="AC479" t="str">
        <f t="shared" si="47"/>
        <v/>
      </c>
    </row>
    <row r="480" spans="1:29" x14ac:dyDescent="0.3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9" t="str">
        <f>IF(J480="","",IFERROR(INDEX(Products!$B$5:$B$89,MATCH(J480,Products!$A$5:$A$89,0)),"Check ID"))</f>
        <v/>
      </c>
      <c r="L480" s="7"/>
      <c r="M480" s="10" t="str">
        <f>IF(J480="","",IFERROR(INDEX(Products!$E$5:$E$89,MATCH(J480,Products!$A$5:$A$89,0)),0))</f>
        <v/>
      </c>
      <c r="N480" s="11" t="str">
        <f>IF(L480="","",IFERROR(VLOOKUP(L480,'Discount Slabs'!$A$5:$B$9,2,TRUE()),0))</f>
        <v/>
      </c>
      <c r="O480" s="12"/>
      <c r="P480" s="10" t="str">
        <f t="shared" si="42"/>
        <v/>
      </c>
      <c r="Q480" s="10" t="str">
        <f t="shared" si="43"/>
        <v/>
      </c>
      <c r="R480" s="13"/>
      <c r="S480" s="10" t="str">
        <f t="shared" si="44"/>
        <v/>
      </c>
      <c r="T480" s="8"/>
      <c r="U480" s="7"/>
      <c r="V480" s="13"/>
      <c r="W480" s="9" t="str">
        <f t="shared" si="45"/>
        <v/>
      </c>
      <c r="X480" s="10" t="str">
        <f t="shared" si="46"/>
        <v/>
      </c>
      <c r="Y480" s="8"/>
      <c r="Z480" s="7"/>
      <c r="AA480" s="7"/>
      <c r="AB480" s="7"/>
      <c r="AC480" t="str">
        <f t="shared" si="47"/>
        <v/>
      </c>
    </row>
    <row r="481" spans="1:29" x14ac:dyDescent="0.3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9" t="str">
        <f>IF(J481="","",IFERROR(INDEX(Products!$B$5:$B$89,MATCH(J481,Products!$A$5:$A$89,0)),"Check ID"))</f>
        <v/>
      </c>
      <c r="L481" s="7"/>
      <c r="M481" s="10" t="str">
        <f>IF(J481="","",IFERROR(INDEX(Products!$E$5:$E$89,MATCH(J481,Products!$A$5:$A$89,0)),0))</f>
        <v/>
      </c>
      <c r="N481" s="11" t="str">
        <f>IF(L481="","",IFERROR(VLOOKUP(L481,'Discount Slabs'!$A$5:$B$9,2,TRUE()),0))</f>
        <v/>
      </c>
      <c r="O481" s="12"/>
      <c r="P481" s="10" t="str">
        <f t="shared" si="42"/>
        <v/>
      </c>
      <c r="Q481" s="10" t="str">
        <f t="shared" si="43"/>
        <v/>
      </c>
      <c r="R481" s="13"/>
      <c r="S481" s="10" t="str">
        <f t="shared" si="44"/>
        <v/>
      </c>
      <c r="T481" s="8"/>
      <c r="U481" s="7"/>
      <c r="V481" s="13"/>
      <c r="W481" s="9" t="str">
        <f t="shared" si="45"/>
        <v/>
      </c>
      <c r="X481" s="10" t="str">
        <f t="shared" si="46"/>
        <v/>
      </c>
      <c r="Y481" s="8"/>
      <c r="Z481" s="7"/>
      <c r="AA481" s="7"/>
      <c r="AB481" s="7"/>
      <c r="AC481" t="str">
        <f t="shared" si="47"/>
        <v/>
      </c>
    </row>
    <row r="482" spans="1:29" x14ac:dyDescent="0.3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9" t="str">
        <f>IF(J482="","",IFERROR(INDEX(Products!$B$5:$B$89,MATCH(J482,Products!$A$5:$A$89,0)),"Check ID"))</f>
        <v/>
      </c>
      <c r="L482" s="7"/>
      <c r="M482" s="10" t="str">
        <f>IF(J482="","",IFERROR(INDEX(Products!$E$5:$E$89,MATCH(J482,Products!$A$5:$A$89,0)),0))</f>
        <v/>
      </c>
      <c r="N482" s="11" t="str">
        <f>IF(L482="","",IFERROR(VLOOKUP(L482,'Discount Slabs'!$A$5:$B$9,2,TRUE()),0))</f>
        <v/>
      </c>
      <c r="O482" s="12"/>
      <c r="P482" s="10" t="str">
        <f t="shared" si="42"/>
        <v/>
      </c>
      <c r="Q482" s="10" t="str">
        <f t="shared" si="43"/>
        <v/>
      </c>
      <c r="R482" s="13"/>
      <c r="S482" s="10" t="str">
        <f t="shared" si="44"/>
        <v/>
      </c>
      <c r="T482" s="8"/>
      <c r="U482" s="7"/>
      <c r="V482" s="13"/>
      <c r="W482" s="9" t="str">
        <f t="shared" si="45"/>
        <v/>
      </c>
      <c r="X482" s="10" t="str">
        <f t="shared" si="46"/>
        <v/>
      </c>
      <c r="Y482" s="8"/>
      <c r="Z482" s="7"/>
      <c r="AA482" s="7"/>
      <c r="AB482" s="7"/>
      <c r="AC482" t="str">
        <f t="shared" si="47"/>
        <v/>
      </c>
    </row>
    <row r="483" spans="1:29" x14ac:dyDescent="0.3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9" t="str">
        <f>IF(J483="","",IFERROR(INDEX(Products!$B$5:$B$89,MATCH(J483,Products!$A$5:$A$89,0)),"Check ID"))</f>
        <v/>
      </c>
      <c r="L483" s="7"/>
      <c r="M483" s="10" t="str">
        <f>IF(J483="","",IFERROR(INDEX(Products!$E$5:$E$89,MATCH(J483,Products!$A$5:$A$89,0)),0))</f>
        <v/>
      </c>
      <c r="N483" s="11" t="str">
        <f>IF(L483="","",IFERROR(VLOOKUP(L483,'Discount Slabs'!$A$5:$B$9,2,TRUE()),0))</f>
        <v/>
      </c>
      <c r="O483" s="12"/>
      <c r="P483" s="10" t="str">
        <f t="shared" si="42"/>
        <v/>
      </c>
      <c r="Q483" s="10" t="str">
        <f t="shared" si="43"/>
        <v/>
      </c>
      <c r="R483" s="13"/>
      <c r="S483" s="10" t="str">
        <f t="shared" si="44"/>
        <v/>
      </c>
      <c r="T483" s="8"/>
      <c r="U483" s="7"/>
      <c r="V483" s="13"/>
      <c r="W483" s="9" t="str">
        <f t="shared" si="45"/>
        <v/>
      </c>
      <c r="X483" s="10" t="str">
        <f t="shared" si="46"/>
        <v/>
      </c>
      <c r="Y483" s="8"/>
      <c r="Z483" s="7"/>
      <c r="AA483" s="7"/>
      <c r="AB483" s="7"/>
      <c r="AC483" t="str">
        <f t="shared" si="47"/>
        <v/>
      </c>
    </row>
    <row r="484" spans="1:29" x14ac:dyDescent="0.3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9" t="str">
        <f>IF(J484="","",IFERROR(INDEX(Products!$B$5:$B$89,MATCH(J484,Products!$A$5:$A$89,0)),"Check ID"))</f>
        <v/>
      </c>
      <c r="L484" s="7"/>
      <c r="M484" s="10" t="str">
        <f>IF(J484="","",IFERROR(INDEX(Products!$E$5:$E$89,MATCH(J484,Products!$A$5:$A$89,0)),0))</f>
        <v/>
      </c>
      <c r="N484" s="11" t="str">
        <f>IF(L484="","",IFERROR(VLOOKUP(L484,'Discount Slabs'!$A$5:$B$9,2,TRUE()),0))</f>
        <v/>
      </c>
      <c r="O484" s="12"/>
      <c r="P484" s="10" t="str">
        <f t="shared" si="42"/>
        <v/>
      </c>
      <c r="Q484" s="10" t="str">
        <f t="shared" si="43"/>
        <v/>
      </c>
      <c r="R484" s="13"/>
      <c r="S484" s="10" t="str">
        <f t="shared" si="44"/>
        <v/>
      </c>
      <c r="T484" s="8"/>
      <c r="U484" s="7"/>
      <c r="V484" s="13"/>
      <c r="W484" s="9" t="str">
        <f t="shared" si="45"/>
        <v/>
      </c>
      <c r="X484" s="10" t="str">
        <f t="shared" si="46"/>
        <v/>
      </c>
      <c r="Y484" s="8"/>
      <c r="Z484" s="7"/>
      <c r="AA484" s="7"/>
      <c r="AB484" s="7"/>
      <c r="AC484" t="str">
        <f t="shared" si="47"/>
        <v/>
      </c>
    </row>
    <row r="485" spans="1:29" x14ac:dyDescent="0.3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9" t="str">
        <f>IF(J485="","",IFERROR(INDEX(Products!$B$5:$B$89,MATCH(J485,Products!$A$5:$A$89,0)),"Check ID"))</f>
        <v/>
      </c>
      <c r="L485" s="7"/>
      <c r="M485" s="10" t="str">
        <f>IF(J485="","",IFERROR(INDEX(Products!$E$5:$E$89,MATCH(J485,Products!$A$5:$A$89,0)),0))</f>
        <v/>
      </c>
      <c r="N485" s="11" t="str">
        <f>IF(L485="","",IFERROR(VLOOKUP(L485,'Discount Slabs'!$A$5:$B$9,2,TRUE()),0))</f>
        <v/>
      </c>
      <c r="O485" s="12"/>
      <c r="P485" s="10" t="str">
        <f t="shared" si="42"/>
        <v/>
      </c>
      <c r="Q485" s="10" t="str">
        <f t="shared" si="43"/>
        <v/>
      </c>
      <c r="R485" s="13"/>
      <c r="S485" s="10" t="str">
        <f t="shared" si="44"/>
        <v/>
      </c>
      <c r="T485" s="8"/>
      <c r="U485" s="7"/>
      <c r="V485" s="13"/>
      <c r="W485" s="9" t="str">
        <f t="shared" si="45"/>
        <v/>
      </c>
      <c r="X485" s="10" t="str">
        <f t="shared" si="46"/>
        <v/>
      </c>
      <c r="Y485" s="8"/>
      <c r="Z485" s="7"/>
      <c r="AA485" s="7"/>
      <c r="AB485" s="7"/>
      <c r="AC485" t="str">
        <f t="shared" si="47"/>
        <v/>
      </c>
    </row>
    <row r="486" spans="1:29" x14ac:dyDescent="0.3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9" t="str">
        <f>IF(J486="","",IFERROR(INDEX(Products!$B$5:$B$89,MATCH(J486,Products!$A$5:$A$89,0)),"Check ID"))</f>
        <v/>
      </c>
      <c r="L486" s="7"/>
      <c r="M486" s="10" t="str">
        <f>IF(J486="","",IFERROR(INDEX(Products!$E$5:$E$89,MATCH(J486,Products!$A$5:$A$89,0)),0))</f>
        <v/>
      </c>
      <c r="N486" s="11" t="str">
        <f>IF(L486="","",IFERROR(VLOOKUP(L486,'Discount Slabs'!$A$5:$B$9,2,TRUE()),0))</f>
        <v/>
      </c>
      <c r="O486" s="12"/>
      <c r="P486" s="10" t="str">
        <f t="shared" si="42"/>
        <v/>
      </c>
      <c r="Q486" s="10" t="str">
        <f t="shared" si="43"/>
        <v/>
      </c>
      <c r="R486" s="13"/>
      <c r="S486" s="10" t="str">
        <f t="shared" si="44"/>
        <v/>
      </c>
      <c r="T486" s="8"/>
      <c r="U486" s="7"/>
      <c r="V486" s="13"/>
      <c r="W486" s="9" t="str">
        <f t="shared" si="45"/>
        <v/>
      </c>
      <c r="X486" s="10" t="str">
        <f t="shared" si="46"/>
        <v/>
      </c>
      <c r="Y486" s="8"/>
      <c r="Z486" s="7"/>
      <c r="AA486" s="7"/>
      <c r="AB486" s="7"/>
      <c r="AC486" t="str">
        <f t="shared" si="47"/>
        <v/>
      </c>
    </row>
    <row r="487" spans="1:29" x14ac:dyDescent="0.3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9" t="str">
        <f>IF(J487="","",IFERROR(INDEX(Products!$B$5:$B$89,MATCH(J487,Products!$A$5:$A$89,0)),"Check ID"))</f>
        <v/>
      </c>
      <c r="L487" s="7"/>
      <c r="M487" s="10" t="str">
        <f>IF(J487="","",IFERROR(INDEX(Products!$E$5:$E$89,MATCH(J487,Products!$A$5:$A$89,0)),0))</f>
        <v/>
      </c>
      <c r="N487" s="11" t="str">
        <f>IF(L487="","",IFERROR(VLOOKUP(L487,'Discount Slabs'!$A$5:$B$9,2,TRUE()),0))</f>
        <v/>
      </c>
      <c r="O487" s="12"/>
      <c r="P487" s="10" t="str">
        <f t="shared" si="42"/>
        <v/>
      </c>
      <c r="Q487" s="10" t="str">
        <f t="shared" si="43"/>
        <v/>
      </c>
      <c r="R487" s="13"/>
      <c r="S487" s="10" t="str">
        <f t="shared" si="44"/>
        <v/>
      </c>
      <c r="T487" s="8"/>
      <c r="U487" s="7"/>
      <c r="V487" s="13"/>
      <c r="W487" s="9" t="str">
        <f t="shared" si="45"/>
        <v/>
      </c>
      <c r="X487" s="10" t="str">
        <f t="shared" si="46"/>
        <v/>
      </c>
      <c r="Y487" s="8"/>
      <c r="Z487" s="7"/>
      <c r="AA487" s="7"/>
      <c r="AB487" s="7"/>
      <c r="AC487" t="str">
        <f t="shared" si="47"/>
        <v/>
      </c>
    </row>
    <row r="488" spans="1:29" x14ac:dyDescent="0.3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9" t="str">
        <f>IF(J488="","",IFERROR(INDEX(Products!$B$5:$B$89,MATCH(J488,Products!$A$5:$A$89,0)),"Check ID"))</f>
        <v/>
      </c>
      <c r="L488" s="7"/>
      <c r="M488" s="10" t="str">
        <f>IF(J488="","",IFERROR(INDEX(Products!$E$5:$E$89,MATCH(J488,Products!$A$5:$A$89,0)),0))</f>
        <v/>
      </c>
      <c r="N488" s="11" t="str">
        <f>IF(L488="","",IFERROR(VLOOKUP(L488,'Discount Slabs'!$A$5:$B$9,2,TRUE()),0))</f>
        <v/>
      </c>
      <c r="O488" s="12"/>
      <c r="P488" s="10" t="str">
        <f t="shared" si="42"/>
        <v/>
      </c>
      <c r="Q488" s="10" t="str">
        <f t="shared" si="43"/>
        <v/>
      </c>
      <c r="R488" s="13"/>
      <c r="S488" s="10" t="str">
        <f t="shared" si="44"/>
        <v/>
      </c>
      <c r="T488" s="8"/>
      <c r="U488" s="7"/>
      <c r="V488" s="13"/>
      <c r="W488" s="9" t="str">
        <f t="shared" si="45"/>
        <v/>
      </c>
      <c r="X488" s="10" t="str">
        <f t="shared" si="46"/>
        <v/>
      </c>
      <c r="Y488" s="8"/>
      <c r="Z488" s="7"/>
      <c r="AA488" s="7"/>
      <c r="AB488" s="7"/>
      <c r="AC488" t="str">
        <f t="shared" si="47"/>
        <v/>
      </c>
    </row>
    <row r="489" spans="1:29" x14ac:dyDescent="0.3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9" t="str">
        <f>IF(J489="","",IFERROR(INDEX(Products!$B$5:$B$89,MATCH(J489,Products!$A$5:$A$89,0)),"Check ID"))</f>
        <v/>
      </c>
      <c r="L489" s="7"/>
      <c r="M489" s="10" t="str">
        <f>IF(J489="","",IFERROR(INDEX(Products!$E$5:$E$89,MATCH(J489,Products!$A$5:$A$89,0)),0))</f>
        <v/>
      </c>
      <c r="N489" s="11" t="str">
        <f>IF(L489="","",IFERROR(VLOOKUP(L489,'Discount Slabs'!$A$5:$B$9,2,TRUE()),0))</f>
        <v/>
      </c>
      <c r="O489" s="12"/>
      <c r="P489" s="10" t="str">
        <f t="shared" si="42"/>
        <v/>
      </c>
      <c r="Q489" s="10" t="str">
        <f t="shared" si="43"/>
        <v/>
      </c>
      <c r="R489" s="13"/>
      <c r="S489" s="10" t="str">
        <f t="shared" si="44"/>
        <v/>
      </c>
      <c r="T489" s="8"/>
      <c r="U489" s="7"/>
      <c r="V489" s="13"/>
      <c r="W489" s="9" t="str">
        <f t="shared" si="45"/>
        <v/>
      </c>
      <c r="X489" s="10" t="str">
        <f t="shared" si="46"/>
        <v/>
      </c>
      <c r="Y489" s="8"/>
      <c r="Z489" s="7"/>
      <c r="AA489" s="7"/>
      <c r="AB489" s="7"/>
      <c r="AC489" t="str">
        <f t="shared" si="47"/>
        <v/>
      </c>
    </row>
    <row r="490" spans="1:29" x14ac:dyDescent="0.3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9" t="str">
        <f>IF(J490="","",IFERROR(INDEX(Products!$B$5:$B$89,MATCH(J490,Products!$A$5:$A$89,0)),"Check ID"))</f>
        <v/>
      </c>
      <c r="L490" s="7"/>
      <c r="M490" s="10" t="str">
        <f>IF(J490="","",IFERROR(INDEX(Products!$E$5:$E$89,MATCH(J490,Products!$A$5:$A$89,0)),0))</f>
        <v/>
      </c>
      <c r="N490" s="11" t="str">
        <f>IF(L490="","",IFERROR(VLOOKUP(L490,'Discount Slabs'!$A$5:$B$9,2,TRUE()),0))</f>
        <v/>
      </c>
      <c r="O490" s="12"/>
      <c r="P490" s="10" t="str">
        <f t="shared" si="42"/>
        <v/>
      </c>
      <c r="Q490" s="10" t="str">
        <f t="shared" si="43"/>
        <v/>
      </c>
      <c r="R490" s="13"/>
      <c r="S490" s="10" t="str">
        <f t="shared" si="44"/>
        <v/>
      </c>
      <c r="T490" s="8"/>
      <c r="U490" s="7"/>
      <c r="V490" s="13"/>
      <c r="W490" s="9" t="str">
        <f t="shared" si="45"/>
        <v/>
      </c>
      <c r="X490" s="10" t="str">
        <f t="shared" si="46"/>
        <v/>
      </c>
      <c r="Y490" s="8"/>
      <c r="Z490" s="7"/>
      <c r="AA490" s="7"/>
      <c r="AB490" s="7"/>
      <c r="AC490" t="str">
        <f t="shared" si="47"/>
        <v/>
      </c>
    </row>
    <row r="491" spans="1:29" x14ac:dyDescent="0.3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9" t="str">
        <f>IF(J491="","",IFERROR(INDEX(Products!$B$5:$B$89,MATCH(J491,Products!$A$5:$A$89,0)),"Check ID"))</f>
        <v/>
      </c>
      <c r="L491" s="7"/>
      <c r="M491" s="10" t="str">
        <f>IF(J491="","",IFERROR(INDEX(Products!$E$5:$E$89,MATCH(J491,Products!$A$5:$A$89,0)),0))</f>
        <v/>
      </c>
      <c r="N491" s="11" t="str">
        <f>IF(L491="","",IFERROR(VLOOKUP(L491,'Discount Slabs'!$A$5:$B$9,2,TRUE()),0))</f>
        <v/>
      </c>
      <c r="O491" s="12"/>
      <c r="P491" s="10" t="str">
        <f t="shared" si="42"/>
        <v/>
      </c>
      <c r="Q491" s="10" t="str">
        <f t="shared" si="43"/>
        <v/>
      </c>
      <c r="R491" s="13"/>
      <c r="S491" s="10" t="str">
        <f t="shared" si="44"/>
        <v/>
      </c>
      <c r="T491" s="8"/>
      <c r="U491" s="7"/>
      <c r="V491" s="13"/>
      <c r="W491" s="9" t="str">
        <f t="shared" si="45"/>
        <v/>
      </c>
      <c r="X491" s="10" t="str">
        <f t="shared" si="46"/>
        <v/>
      </c>
      <c r="Y491" s="8"/>
      <c r="Z491" s="7"/>
      <c r="AA491" s="7"/>
      <c r="AB491" s="7"/>
      <c r="AC491" t="str">
        <f t="shared" si="47"/>
        <v/>
      </c>
    </row>
    <row r="492" spans="1:29" x14ac:dyDescent="0.3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9" t="str">
        <f>IF(J492="","",IFERROR(INDEX(Products!$B$5:$B$89,MATCH(J492,Products!$A$5:$A$89,0)),"Check ID"))</f>
        <v/>
      </c>
      <c r="L492" s="7"/>
      <c r="M492" s="10" t="str">
        <f>IF(J492="","",IFERROR(INDEX(Products!$E$5:$E$89,MATCH(J492,Products!$A$5:$A$89,0)),0))</f>
        <v/>
      </c>
      <c r="N492" s="11" t="str">
        <f>IF(L492="","",IFERROR(VLOOKUP(L492,'Discount Slabs'!$A$5:$B$9,2,TRUE()),0))</f>
        <v/>
      </c>
      <c r="O492" s="12"/>
      <c r="P492" s="10" t="str">
        <f t="shared" si="42"/>
        <v/>
      </c>
      <c r="Q492" s="10" t="str">
        <f t="shared" si="43"/>
        <v/>
      </c>
      <c r="R492" s="13"/>
      <c r="S492" s="10" t="str">
        <f t="shared" si="44"/>
        <v/>
      </c>
      <c r="T492" s="8"/>
      <c r="U492" s="7"/>
      <c r="V492" s="13"/>
      <c r="W492" s="9" t="str">
        <f t="shared" si="45"/>
        <v/>
      </c>
      <c r="X492" s="10" t="str">
        <f t="shared" si="46"/>
        <v/>
      </c>
      <c r="Y492" s="8"/>
      <c r="Z492" s="7"/>
      <c r="AA492" s="7"/>
      <c r="AB492" s="7"/>
      <c r="AC492" t="str">
        <f t="shared" si="47"/>
        <v/>
      </c>
    </row>
    <row r="493" spans="1:29" x14ac:dyDescent="0.3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9" t="str">
        <f>IF(J493="","",IFERROR(INDEX(Products!$B$5:$B$89,MATCH(J493,Products!$A$5:$A$89,0)),"Check ID"))</f>
        <v/>
      </c>
      <c r="L493" s="7"/>
      <c r="M493" s="10" t="str">
        <f>IF(J493="","",IFERROR(INDEX(Products!$E$5:$E$89,MATCH(J493,Products!$A$5:$A$89,0)),0))</f>
        <v/>
      </c>
      <c r="N493" s="11" t="str">
        <f>IF(L493="","",IFERROR(VLOOKUP(L493,'Discount Slabs'!$A$5:$B$9,2,TRUE()),0))</f>
        <v/>
      </c>
      <c r="O493" s="12"/>
      <c r="P493" s="10" t="str">
        <f t="shared" si="42"/>
        <v/>
      </c>
      <c r="Q493" s="10" t="str">
        <f t="shared" si="43"/>
        <v/>
      </c>
      <c r="R493" s="13"/>
      <c r="S493" s="10" t="str">
        <f t="shared" si="44"/>
        <v/>
      </c>
      <c r="T493" s="8"/>
      <c r="U493" s="7"/>
      <c r="V493" s="13"/>
      <c r="W493" s="9" t="str">
        <f t="shared" si="45"/>
        <v/>
      </c>
      <c r="X493" s="10" t="str">
        <f t="shared" si="46"/>
        <v/>
      </c>
      <c r="Y493" s="8"/>
      <c r="Z493" s="7"/>
      <c r="AA493" s="7"/>
      <c r="AB493" s="7"/>
      <c r="AC493" t="str">
        <f t="shared" si="47"/>
        <v/>
      </c>
    </row>
    <row r="494" spans="1:29" x14ac:dyDescent="0.3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9" t="str">
        <f>IF(J494="","",IFERROR(INDEX(Products!$B$5:$B$89,MATCH(J494,Products!$A$5:$A$89,0)),"Check ID"))</f>
        <v/>
      </c>
      <c r="L494" s="7"/>
      <c r="M494" s="10" t="str">
        <f>IF(J494="","",IFERROR(INDEX(Products!$E$5:$E$89,MATCH(J494,Products!$A$5:$A$89,0)),0))</f>
        <v/>
      </c>
      <c r="N494" s="11" t="str">
        <f>IF(L494="","",IFERROR(VLOOKUP(L494,'Discount Slabs'!$A$5:$B$9,2,TRUE()),0))</f>
        <v/>
      </c>
      <c r="O494" s="12"/>
      <c r="P494" s="10" t="str">
        <f t="shared" si="42"/>
        <v/>
      </c>
      <c r="Q494" s="10" t="str">
        <f t="shared" si="43"/>
        <v/>
      </c>
      <c r="R494" s="13"/>
      <c r="S494" s="10" t="str">
        <f t="shared" si="44"/>
        <v/>
      </c>
      <c r="T494" s="8"/>
      <c r="U494" s="7"/>
      <c r="V494" s="13"/>
      <c r="W494" s="9" t="str">
        <f t="shared" si="45"/>
        <v/>
      </c>
      <c r="X494" s="10" t="str">
        <f t="shared" si="46"/>
        <v/>
      </c>
      <c r="Y494" s="8"/>
      <c r="Z494" s="7"/>
      <c r="AA494" s="7"/>
      <c r="AB494" s="7"/>
      <c r="AC494" t="str">
        <f t="shared" si="47"/>
        <v/>
      </c>
    </row>
    <row r="495" spans="1:29" x14ac:dyDescent="0.3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9" t="str">
        <f>IF(J495="","",IFERROR(INDEX(Products!$B$5:$B$89,MATCH(J495,Products!$A$5:$A$89,0)),"Check ID"))</f>
        <v/>
      </c>
      <c r="L495" s="7"/>
      <c r="M495" s="10" t="str">
        <f>IF(J495="","",IFERROR(INDEX(Products!$E$5:$E$89,MATCH(J495,Products!$A$5:$A$89,0)),0))</f>
        <v/>
      </c>
      <c r="N495" s="11" t="str">
        <f>IF(L495="","",IFERROR(VLOOKUP(L495,'Discount Slabs'!$A$5:$B$9,2,TRUE()),0))</f>
        <v/>
      </c>
      <c r="O495" s="12"/>
      <c r="P495" s="10" t="str">
        <f t="shared" si="42"/>
        <v/>
      </c>
      <c r="Q495" s="10" t="str">
        <f t="shared" si="43"/>
        <v/>
      </c>
      <c r="R495" s="13"/>
      <c r="S495" s="10" t="str">
        <f t="shared" si="44"/>
        <v/>
      </c>
      <c r="T495" s="8"/>
      <c r="U495" s="7"/>
      <c r="V495" s="13"/>
      <c r="W495" s="9" t="str">
        <f t="shared" si="45"/>
        <v/>
      </c>
      <c r="X495" s="10" t="str">
        <f t="shared" si="46"/>
        <v/>
      </c>
      <c r="Y495" s="8"/>
      <c r="Z495" s="7"/>
      <c r="AA495" s="7"/>
      <c r="AB495" s="7"/>
      <c r="AC495" t="str">
        <f t="shared" si="47"/>
        <v/>
      </c>
    </row>
    <row r="496" spans="1:29" x14ac:dyDescent="0.3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9" t="str">
        <f>IF(J496="","",IFERROR(INDEX(Products!$B$5:$B$89,MATCH(J496,Products!$A$5:$A$89,0)),"Check ID"))</f>
        <v/>
      </c>
      <c r="L496" s="7"/>
      <c r="M496" s="10" t="str">
        <f>IF(J496="","",IFERROR(INDEX(Products!$E$5:$E$89,MATCH(J496,Products!$A$5:$A$89,0)),0))</f>
        <v/>
      </c>
      <c r="N496" s="11" t="str">
        <f>IF(L496="","",IFERROR(VLOOKUP(L496,'Discount Slabs'!$A$5:$B$9,2,TRUE()),0))</f>
        <v/>
      </c>
      <c r="O496" s="12"/>
      <c r="P496" s="10" t="str">
        <f t="shared" si="42"/>
        <v/>
      </c>
      <c r="Q496" s="10" t="str">
        <f t="shared" si="43"/>
        <v/>
      </c>
      <c r="R496" s="13"/>
      <c r="S496" s="10" t="str">
        <f t="shared" si="44"/>
        <v/>
      </c>
      <c r="T496" s="8"/>
      <c r="U496" s="7"/>
      <c r="V496" s="13"/>
      <c r="W496" s="9" t="str">
        <f t="shared" si="45"/>
        <v/>
      </c>
      <c r="X496" s="10" t="str">
        <f t="shared" si="46"/>
        <v/>
      </c>
      <c r="Y496" s="8"/>
      <c r="Z496" s="7"/>
      <c r="AA496" s="7"/>
      <c r="AB496" s="7"/>
      <c r="AC496" t="str">
        <f t="shared" si="47"/>
        <v/>
      </c>
    </row>
    <row r="497" spans="1:29" x14ac:dyDescent="0.3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9" t="str">
        <f>IF(J497="","",IFERROR(INDEX(Products!$B$5:$B$89,MATCH(J497,Products!$A$5:$A$89,0)),"Check ID"))</f>
        <v/>
      </c>
      <c r="L497" s="7"/>
      <c r="M497" s="10" t="str">
        <f>IF(J497="","",IFERROR(INDEX(Products!$E$5:$E$89,MATCH(J497,Products!$A$5:$A$89,0)),0))</f>
        <v/>
      </c>
      <c r="N497" s="11" t="str">
        <f>IF(L497="","",IFERROR(VLOOKUP(L497,'Discount Slabs'!$A$5:$B$9,2,TRUE()),0))</f>
        <v/>
      </c>
      <c r="O497" s="12"/>
      <c r="P497" s="10" t="str">
        <f t="shared" si="42"/>
        <v/>
      </c>
      <c r="Q497" s="10" t="str">
        <f t="shared" si="43"/>
        <v/>
      </c>
      <c r="R497" s="13"/>
      <c r="S497" s="10" t="str">
        <f t="shared" si="44"/>
        <v/>
      </c>
      <c r="T497" s="8"/>
      <c r="U497" s="7"/>
      <c r="V497" s="13"/>
      <c r="W497" s="9" t="str">
        <f t="shared" si="45"/>
        <v/>
      </c>
      <c r="X497" s="10" t="str">
        <f t="shared" si="46"/>
        <v/>
      </c>
      <c r="Y497" s="8"/>
      <c r="Z497" s="7"/>
      <c r="AA497" s="7"/>
      <c r="AB497" s="7"/>
      <c r="AC497" t="str">
        <f t="shared" si="47"/>
        <v/>
      </c>
    </row>
    <row r="498" spans="1:29" x14ac:dyDescent="0.3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9" t="str">
        <f>IF(J498="","",IFERROR(INDEX(Products!$B$5:$B$89,MATCH(J498,Products!$A$5:$A$89,0)),"Check ID"))</f>
        <v/>
      </c>
      <c r="L498" s="7"/>
      <c r="M498" s="10" t="str">
        <f>IF(J498="","",IFERROR(INDEX(Products!$E$5:$E$89,MATCH(J498,Products!$A$5:$A$89,0)),0))</f>
        <v/>
      </c>
      <c r="N498" s="11" t="str">
        <f>IF(L498="","",IFERROR(VLOOKUP(L498,'Discount Slabs'!$A$5:$B$9,2,TRUE()),0))</f>
        <v/>
      </c>
      <c r="O498" s="12"/>
      <c r="P498" s="10" t="str">
        <f t="shared" si="42"/>
        <v/>
      </c>
      <c r="Q498" s="10" t="str">
        <f t="shared" si="43"/>
        <v/>
      </c>
      <c r="R498" s="13"/>
      <c r="S498" s="10" t="str">
        <f t="shared" si="44"/>
        <v/>
      </c>
      <c r="T498" s="8"/>
      <c r="U498" s="7"/>
      <c r="V498" s="13"/>
      <c r="W498" s="9" t="str">
        <f t="shared" si="45"/>
        <v/>
      </c>
      <c r="X498" s="10" t="str">
        <f t="shared" si="46"/>
        <v/>
      </c>
      <c r="Y498" s="8"/>
      <c r="Z498" s="7"/>
      <c r="AA498" s="7"/>
      <c r="AB498" s="7"/>
      <c r="AC498" t="str">
        <f t="shared" si="47"/>
        <v/>
      </c>
    </row>
    <row r="499" spans="1:29" x14ac:dyDescent="0.3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9" t="str">
        <f>IF(J499="","",IFERROR(INDEX(Products!$B$5:$B$89,MATCH(J499,Products!$A$5:$A$89,0)),"Check ID"))</f>
        <v/>
      </c>
      <c r="L499" s="7"/>
      <c r="M499" s="10" t="str">
        <f>IF(J499="","",IFERROR(INDEX(Products!$E$5:$E$89,MATCH(J499,Products!$A$5:$A$89,0)),0))</f>
        <v/>
      </c>
      <c r="N499" s="11" t="str">
        <f>IF(L499="","",IFERROR(VLOOKUP(L499,'Discount Slabs'!$A$5:$B$9,2,TRUE()),0))</f>
        <v/>
      </c>
      <c r="O499" s="12"/>
      <c r="P499" s="10" t="str">
        <f t="shared" si="42"/>
        <v/>
      </c>
      <c r="Q499" s="10" t="str">
        <f t="shared" si="43"/>
        <v/>
      </c>
      <c r="R499" s="13"/>
      <c r="S499" s="10" t="str">
        <f t="shared" si="44"/>
        <v/>
      </c>
      <c r="T499" s="8"/>
      <c r="U499" s="7"/>
      <c r="V499" s="13"/>
      <c r="W499" s="9" t="str">
        <f t="shared" si="45"/>
        <v/>
      </c>
      <c r="X499" s="10" t="str">
        <f t="shared" si="46"/>
        <v/>
      </c>
      <c r="Y499" s="8"/>
      <c r="Z499" s="7"/>
      <c r="AA499" s="7"/>
      <c r="AB499" s="7"/>
      <c r="AC499" t="str">
        <f t="shared" si="47"/>
        <v/>
      </c>
    </row>
    <row r="500" spans="1:29" x14ac:dyDescent="0.3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9" t="str">
        <f>IF(J500="","",IFERROR(INDEX(Products!$B$5:$B$89,MATCH(J500,Products!$A$5:$A$89,0)),"Check ID"))</f>
        <v/>
      </c>
      <c r="L500" s="7"/>
      <c r="M500" s="10" t="str">
        <f>IF(J500="","",IFERROR(INDEX(Products!$E$5:$E$89,MATCH(J500,Products!$A$5:$A$89,0)),0))</f>
        <v/>
      </c>
      <c r="N500" s="11" t="str">
        <f>IF(L500="","",IFERROR(VLOOKUP(L500,'Discount Slabs'!$A$5:$B$9,2,TRUE()),0))</f>
        <v/>
      </c>
      <c r="O500" s="12"/>
      <c r="P500" s="10" t="str">
        <f t="shared" si="42"/>
        <v/>
      </c>
      <c r="Q500" s="10" t="str">
        <f t="shared" si="43"/>
        <v/>
      </c>
      <c r="R500" s="13"/>
      <c r="S500" s="10" t="str">
        <f t="shared" si="44"/>
        <v/>
      </c>
      <c r="T500" s="8"/>
      <c r="U500" s="7"/>
      <c r="V500" s="13"/>
      <c r="W500" s="9" t="str">
        <f t="shared" si="45"/>
        <v/>
      </c>
      <c r="X500" s="10" t="str">
        <f t="shared" si="46"/>
        <v/>
      </c>
      <c r="Y500" s="8"/>
      <c r="Z500" s="7"/>
      <c r="AA500" s="7"/>
      <c r="AB500" s="7"/>
      <c r="AC500" t="str">
        <f t="shared" si="47"/>
        <v/>
      </c>
    </row>
    <row r="501" spans="1:29" x14ac:dyDescent="0.3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9" t="str">
        <f>IF(J501="","",IFERROR(INDEX(Products!$B$5:$B$89,MATCH(J501,Products!$A$5:$A$89,0)),"Check ID"))</f>
        <v/>
      </c>
      <c r="L501" s="7"/>
      <c r="M501" s="10" t="str">
        <f>IF(J501="","",IFERROR(INDEX(Products!$E$5:$E$89,MATCH(J501,Products!$A$5:$A$89,0)),0))</f>
        <v/>
      </c>
      <c r="N501" s="11" t="str">
        <f>IF(L501="","",IFERROR(VLOOKUP(L501,'Discount Slabs'!$A$5:$B$9,2,TRUE()),0))</f>
        <v/>
      </c>
      <c r="O501" s="12"/>
      <c r="P501" s="10" t="str">
        <f t="shared" si="42"/>
        <v/>
      </c>
      <c r="Q501" s="10" t="str">
        <f t="shared" si="43"/>
        <v/>
      </c>
      <c r="R501" s="13"/>
      <c r="S501" s="10" t="str">
        <f t="shared" si="44"/>
        <v/>
      </c>
      <c r="T501" s="8"/>
      <c r="U501" s="7"/>
      <c r="V501" s="13"/>
      <c r="W501" s="9" t="str">
        <f t="shared" si="45"/>
        <v/>
      </c>
      <c r="X501" s="10" t="str">
        <f t="shared" si="46"/>
        <v/>
      </c>
      <c r="Y501" s="8"/>
      <c r="Z501" s="7"/>
      <c r="AA501" s="7"/>
      <c r="AB501" s="7"/>
      <c r="AC501" t="str">
        <f t="shared" si="47"/>
        <v/>
      </c>
    </row>
    <row r="502" spans="1:29" x14ac:dyDescent="0.3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9" t="str">
        <f>IF(J502="","",IFERROR(INDEX(Products!$B$5:$B$89,MATCH(J502,Products!$A$5:$A$89,0)),"Check ID"))</f>
        <v/>
      </c>
      <c r="L502" s="7"/>
      <c r="M502" s="10" t="str">
        <f>IF(J502="","",IFERROR(INDEX(Products!$E$5:$E$89,MATCH(J502,Products!$A$5:$A$89,0)),0))</f>
        <v/>
      </c>
      <c r="N502" s="11" t="str">
        <f>IF(L502="","",IFERROR(VLOOKUP(L502,'Discount Slabs'!$A$5:$B$9,2,TRUE()),0))</f>
        <v/>
      </c>
      <c r="O502" s="12"/>
      <c r="P502" s="10" t="str">
        <f t="shared" si="42"/>
        <v/>
      </c>
      <c r="Q502" s="10" t="str">
        <f t="shared" si="43"/>
        <v/>
      </c>
      <c r="R502" s="13"/>
      <c r="S502" s="10" t="str">
        <f t="shared" si="44"/>
        <v/>
      </c>
      <c r="T502" s="8"/>
      <c r="U502" s="7"/>
      <c r="V502" s="13"/>
      <c r="W502" s="9" t="str">
        <f t="shared" si="45"/>
        <v/>
      </c>
      <c r="X502" s="10" t="str">
        <f t="shared" si="46"/>
        <v/>
      </c>
      <c r="Y502" s="8"/>
      <c r="Z502" s="7"/>
      <c r="AA502" s="7"/>
      <c r="AB502" s="7"/>
      <c r="AC502" t="str">
        <f t="shared" si="47"/>
        <v/>
      </c>
    </row>
    <row r="503" spans="1:29" x14ac:dyDescent="0.3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9" t="str">
        <f>IF(J503="","",IFERROR(INDEX(Products!$B$5:$B$89,MATCH(J503,Products!$A$5:$A$89,0)),"Check ID"))</f>
        <v/>
      </c>
      <c r="L503" s="7"/>
      <c r="M503" s="10" t="str">
        <f>IF(J503="","",IFERROR(INDEX(Products!$E$5:$E$89,MATCH(J503,Products!$A$5:$A$89,0)),0))</f>
        <v/>
      </c>
      <c r="N503" s="11" t="str">
        <f>IF(L503="","",IFERROR(VLOOKUP(L503,'Discount Slabs'!$A$5:$B$9,2,TRUE()),0))</f>
        <v/>
      </c>
      <c r="O503" s="12"/>
      <c r="P503" s="10" t="str">
        <f t="shared" si="42"/>
        <v/>
      </c>
      <c r="Q503" s="10" t="str">
        <f t="shared" si="43"/>
        <v/>
      </c>
      <c r="R503" s="13"/>
      <c r="S503" s="10" t="str">
        <f t="shared" si="44"/>
        <v/>
      </c>
      <c r="T503" s="8"/>
      <c r="U503" s="7"/>
      <c r="V503" s="13"/>
      <c r="W503" s="9" t="str">
        <f t="shared" si="45"/>
        <v/>
      </c>
      <c r="X503" s="10" t="str">
        <f t="shared" si="46"/>
        <v/>
      </c>
      <c r="Y503" s="8"/>
      <c r="Z503" s="7"/>
      <c r="AA503" s="7"/>
      <c r="AB503" s="7"/>
      <c r="AC503" t="str">
        <f t="shared" si="47"/>
        <v/>
      </c>
    </row>
    <row r="504" spans="1:29" x14ac:dyDescent="0.3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9" t="str">
        <f>IF(J504="","",IFERROR(INDEX(Products!$B$5:$B$89,MATCH(J504,Products!$A$5:$A$89,0)),"Check ID"))</f>
        <v/>
      </c>
      <c r="L504" s="7"/>
      <c r="M504" s="10" t="str">
        <f>IF(J504="","",IFERROR(INDEX(Products!$E$5:$E$89,MATCH(J504,Products!$A$5:$A$89,0)),0))</f>
        <v/>
      </c>
      <c r="N504" s="11" t="str">
        <f>IF(L504="","",IFERROR(VLOOKUP(L504,'Discount Slabs'!$A$5:$B$9,2,TRUE()),0))</f>
        <v/>
      </c>
      <c r="O504" s="12"/>
      <c r="P504" s="10" t="str">
        <f t="shared" si="42"/>
        <v/>
      </c>
      <c r="Q504" s="10" t="str">
        <f t="shared" si="43"/>
        <v/>
      </c>
      <c r="R504" s="13"/>
      <c r="S504" s="10" t="str">
        <f t="shared" si="44"/>
        <v/>
      </c>
      <c r="T504" s="8"/>
      <c r="U504" s="7"/>
      <c r="V504" s="13"/>
      <c r="W504" s="9" t="str">
        <f t="shared" si="45"/>
        <v/>
      </c>
      <c r="X504" s="10" t="str">
        <f t="shared" si="46"/>
        <v/>
      </c>
      <c r="Y504" s="8"/>
      <c r="Z504" s="7"/>
      <c r="AA504" s="7"/>
      <c r="AB504" s="7"/>
      <c r="AC504" t="str">
        <f t="shared" si="47"/>
        <v/>
      </c>
    </row>
  </sheetData>
  <autoFilter ref="A4:AB504" xr:uid="{00000000-0009-0000-0000-000001000000}"/>
  <conditionalFormatting sqref="W5:W504">
    <cfRule type="cellIs" dxfId="2" priority="3" operator="equal">
      <formula>"Won"</formula>
    </cfRule>
  </conditionalFormatting>
  <dataValidations count="5">
    <dataValidation type="list" allowBlank="1" sqref="E5:E504" xr:uid="{00000000-0002-0000-0100-000000000000}">
      <formula1>"Corporate,Personal"</formula1>
      <formula2>0</formula2>
    </dataValidation>
    <dataValidation type="list" allowBlank="1" sqref="F5:F504" xr:uid="{00000000-0002-0000-0100-000001000000}">
      <formula1>"Diwali,Wedding,Housewarming,Naming ceremony,Birthday,Pooja / Vratham,Sankranti,New Year,Baby shower,Other"</formula1>
      <formula2>0</formula2>
    </dataValidation>
    <dataValidation type="list" allowBlank="1" sqref="G5:G504" xr:uid="{00000000-0002-0000-0100-000002000000}">
      <formula1>"Instagram reel,Instagram profile,Instagram DM,Website,Referral,Repeat customer,Google,Other"</formula1>
      <formula2>0</formula2>
    </dataValidation>
    <dataValidation type="list" allowBlank="1" sqref="U5:U504" xr:uid="{00000000-0002-0000-0100-000003000000}">
      <formula1>"New enquiry,Quoted,Negotiating,Advance received,In production,Dispatched,Delivered,Lost"</formula1>
      <formula2>0</formula2>
    </dataValidation>
    <dataValidation type="list" allowBlank="1" sqref="AA5:AA504" xr:uid="{00000000-0002-0000-0100-000004000000}">
      <formula1>"Price too high,Timeline too short,Out of stock,Chose another seller,No response,Other"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100-000002000000}">
            <xm:f>AND($L5&lt;&gt;"",$N5+N($O5)&gt;'Discount Slabs'!$B$11)</xm:f>
            <x14:dxf>
              <font>
                <b/>
                <color rgb="FF9C0006"/>
                <name val="Arial"/>
                <charset val="1"/>
              </font>
              <fill>
                <patternFill>
                  <bgColor rgb="FFF4CCCC"/>
                </patternFill>
              </fill>
            </x14:dxf>
          </x14:cfRule>
          <xm:sqref>N5:O504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topLeftCell="A9" zoomScaleNormal="100" workbookViewId="0">
      <selection activeCell="M22" sqref="M20:M22"/>
    </sheetView>
  </sheetViews>
  <sheetFormatPr defaultColWidth="8.6640625" defaultRowHeight="14.4" x14ac:dyDescent="0.3"/>
  <cols>
    <col min="1" max="1" width="12" customWidth="1"/>
    <col min="2" max="2" width="30" customWidth="1"/>
    <col min="3" max="3" width="8" customWidth="1"/>
    <col min="4" max="4" width="14" customWidth="1"/>
    <col min="5" max="5" width="13" customWidth="1"/>
    <col min="6" max="6" width="14" customWidth="1"/>
    <col min="7" max="7" width="15" customWidth="1"/>
    <col min="8" max="8" width="13" hidden="1" customWidth="1"/>
  </cols>
  <sheetData>
    <row r="1" spans="1:8" ht="17.399999999999999" x14ac:dyDescent="0.3">
      <c r="A1" s="4" t="s">
        <v>53</v>
      </c>
    </row>
    <row r="2" spans="1:8" x14ac:dyDescent="0.3">
      <c r="A2" s="5" t="s">
        <v>54</v>
      </c>
    </row>
    <row r="3" spans="1:8" x14ac:dyDescent="0.3">
      <c r="A3" s="14" t="s">
        <v>18</v>
      </c>
      <c r="B3" s="7" t="s">
        <v>293</v>
      </c>
      <c r="D3" s="14" t="s">
        <v>33</v>
      </c>
      <c r="F3" s="16">
        <v>0</v>
      </c>
    </row>
    <row r="5" spans="1:8" ht="31.5" customHeight="1" x14ac:dyDescent="0.3">
      <c r="A5" s="6" t="s">
        <v>25</v>
      </c>
      <c r="B5" s="6" t="s">
        <v>55</v>
      </c>
      <c r="C5" s="6" t="s">
        <v>27</v>
      </c>
      <c r="D5" s="6" t="s">
        <v>28</v>
      </c>
      <c r="E5" s="6" t="s">
        <v>29</v>
      </c>
      <c r="F5" s="6" t="s">
        <v>56</v>
      </c>
      <c r="G5" s="6" t="s">
        <v>57</v>
      </c>
    </row>
    <row r="6" spans="1:8" ht="52.2" x14ac:dyDescent="0.3">
      <c r="A6" s="7">
        <v>2</v>
      </c>
      <c r="B6" t="str">
        <f>IF(A6="","",IFERROR(INDEX(Products!$B$5:$B$89,MATCH(A6,Products!$A$5:$A$89,0)),"Check ID"))</f>
        <v>Spice Box 1</v>
      </c>
      <c r="C6" s="15">
        <v>20</v>
      </c>
      <c r="D6" s="17">
        <f>IF(A6="","",IFERROR(INDEX(Products!$E$5:$E$89,MATCH(A6,Products!$A$5:$A$89,0)),0))</f>
        <v>650</v>
      </c>
      <c r="E6" s="18">
        <v>0.04</v>
      </c>
      <c r="F6" s="17">
        <f>IF(OR(A6="",C6=""),"",ROUND(D6*(1-E6),0))</f>
        <v>624</v>
      </c>
      <c r="G6" s="17">
        <f>IF(F6="","",F6*C6)</f>
        <v>12480</v>
      </c>
      <c r="H6" s="19" t="str">
        <f>IF(F6="","",B6&amp;": "&amp;C6&amp;" pcs × ₹"&amp;TEXT(F6,"#,##0")&amp;IF(E6&gt;0," (after "&amp;TEXT(E6,"0%")&amp;" volume discount)","")&amp;" = ₹"&amp;TEXT(G6,"#,##0")&amp;CHAR(10))</f>
        <v xml:space="preserve">Spice Box 1: 20 pcs × ₹624 (after 4% volume discount) = ₹12,480
</v>
      </c>
    </row>
    <row r="7" spans="1:8" ht="62.4" x14ac:dyDescent="0.3">
      <c r="A7" s="7"/>
      <c r="C7" s="15"/>
      <c r="D7" s="17"/>
      <c r="E7" s="18"/>
      <c r="F7" s="17"/>
      <c r="G7" s="17"/>
      <c r="H7" s="19" t="str">
        <f>IF(F7="","",B7&amp;": "&amp;C7&amp;" pcs × ₹"&amp;TEXT(F7,"#,##0")&amp;IF(E7&gt;0," (after "&amp;TEXT(E7,"0%")&amp;" volume discount)","")&amp;" = ₹"&amp;TEXT(G7,"#,##0")&amp;CHAR(10))</f>
        <v/>
      </c>
    </row>
    <row r="8" spans="1:8" ht="62.4" x14ac:dyDescent="0.3">
      <c r="A8" s="7"/>
      <c r="C8" s="15"/>
      <c r="D8" s="17"/>
      <c r="E8" s="18"/>
      <c r="F8" s="17"/>
      <c r="G8" s="17"/>
      <c r="H8" s="19" t="str">
        <f>IF(F8="","",B8&amp;": "&amp;C8&amp;" pcs × ₹"&amp;TEXT(F8,"#,##0")&amp;IF(E8&gt;0," (after "&amp;TEXT(E8,"0%")&amp;" volume discount)","")&amp;" = ₹"&amp;TEXT(G8,"#,##0")&amp;CHAR(10))</f>
        <v/>
      </c>
    </row>
    <row r="9" spans="1:8" ht="62.4" x14ac:dyDescent="0.3">
      <c r="A9" s="7"/>
      <c r="C9" s="15"/>
      <c r="D9" s="17"/>
      <c r="E9" s="18"/>
      <c r="F9" s="17"/>
      <c r="G9" s="17"/>
      <c r="H9" s="19" t="str">
        <f>IF(F9="","",B9&amp;": "&amp;C9&amp;" pcs × ₹"&amp;TEXT(F9,"#,##0")&amp;IF(E9&gt;0," (after "&amp;TEXT(E9,"0%")&amp;" volume discount)","")&amp;" = ₹"&amp;TEXT(G9,"#,##0")&amp;CHAR(10))</f>
        <v/>
      </c>
    </row>
    <row r="10" spans="1:8" x14ac:dyDescent="0.3">
      <c r="A10" s="15"/>
      <c r="B10" t="str">
        <f>IF(A10="","",IFERROR(INDEX(Products!$B$5:$B$89,MATCH(A10,Products!$A$5:$A$89,0)),"Check ID"))</f>
        <v/>
      </c>
      <c r="C10" s="15"/>
      <c r="D10" s="17" t="str">
        <f>IF(A10="","",IFERROR(INDEX(Products!$E$5:$E$89,MATCH(A10,Products!$A$5:$A$89,0)),0))</f>
        <v/>
      </c>
      <c r="E10" s="18" t="str">
        <f>IF(C10="","",IFERROR(VLOOKUP(C10,'Discount Slabs'!$A$5:$B$9,2,TRUE()),0))</f>
        <v/>
      </c>
      <c r="F10" s="17" t="str">
        <f>IF(OR(A10="",C10=""),"",ROUND(D10*(1-E10),0))</f>
        <v/>
      </c>
      <c r="G10" s="17" t="str">
        <f>IF(F10="","",F10*C10)</f>
        <v/>
      </c>
      <c r="H10" s="19" t="str">
        <f>IF(F10="","",B10&amp;": "&amp;C10&amp;" pcs × ₹"&amp;TEXT(F10,"#,##0")&amp;IF(E10&gt;0," (after "&amp;TEXT(E10,"0%")&amp;" volume discount)","")&amp;" = ₹"&amp;TEXT(G10,"#,##0")&amp;CHAR(10))</f>
        <v/>
      </c>
    </row>
    <row r="12" spans="1:8" x14ac:dyDescent="0.3">
      <c r="F12" s="14" t="s">
        <v>58</v>
      </c>
      <c r="G12" s="17">
        <f>SUM(G6:G10)</f>
        <v>12480</v>
      </c>
    </row>
    <row r="13" spans="1:8" x14ac:dyDescent="0.3">
      <c r="F13" s="14" t="s">
        <v>59</v>
      </c>
      <c r="G13" s="20">
        <f>G12+N(F3)</f>
        <v>12480</v>
      </c>
    </row>
    <row r="15" spans="1:8" x14ac:dyDescent="0.3">
      <c r="A15" s="14" t="s">
        <v>60</v>
      </c>
    </row>
    <row r="16" spans="1:8" x14ac:dyDescent="0.3">
      <c r="A16" s="29" t="str">
        <f>"Thank you, "&amp;B3&amp;"! Here is your quote from Kushii Gifts:"&amp;CHAR(10)&amp;CHAR(10)&amp;H6&amp;H7&amp;H8&amp;H9&amp;H10&amp;CHAR(10)&amp;IF(N(F3)&gt;0,"Customisation + delivery: ₹"&amp;TEXT(F3,"#,##0")&amp;CHAR(10),"")&amp;"Total: ₹"&amp;TEXT(G13,"#,##0")&amp;CHAR(10)&amp;CHAR(10)&amp;"This price is held for 48 hours as festive stock moves fast. A 50% advance confirms your order. Shall I reserve it for you?"</f>
        <v>Thank you, Aarti S! Here is your quote from Kushii Gifts:
Spice Box 1: 20 pcs × ₹624 (after 4% volume discount) = ₹12,480
Total: ₹12,480
This price is held for 48 hours as festive stock moves fast. A 50% advance confirms your order. Shall I reserve it for you?</v>
      </c>
      <c r="B16" s="29"/>
      <c r="C16" s="29"/>
      <c r="D16" s="29"/>
      <c r="E16" s="29"/>
      <c r="F16" s="29"/>
      <c r="G16" s="29"/>
    </row>
    <row r="17" spans="1:7" x14ac:dyDescent="0.3">
      <c r="A17" s="29"/>
      <c r="B17" s="29"/>
      <c r="C17" s="29"/>
      <c r="D17" s="29"/>
      <c r="E17" s="29"/>
      <c r="F17" s="29"/>
      <c r="G17" s="29"/>
    </row>
    <row r="18" spans="1:7" x14ac:dyDescent="0.3">
      <c r="A18" s="29"/>
      <c r="B18" s="29"/>
      <c r="C18" s="29"/>
      <c r="D18" s="29"/>
      <c r="E18" s="29"/>
      <c r="F18" s="29"/>
      <c r="G18" s="29"/>
    </row>
    <row r="19" spans="1:7" x14ac:dyDescent="0.3">
      <c r="A19" s="29"/>
      <c r="B19" s="29"/>
      <c r="C19" s="29"/>
      <c r="D19" s="29"/>
      <c r="E19" s="29"/>
      <c r="F19" s="29"/>
      <c r="G19" s="29"/>
    </row>
    <row r="20" spans="1:7" x14ac:dyDescent="0.3">
      <c r="A20" s="29"/>
      <c r="B20" s="29"/>
      <c r="C20" s="29"/>
      <c r="D20" s="29"/>
      <c r="E20" s="29"/>
      <c r="F20" s="29"/>
      <c r="G20" s="29"/>
    </row>
    <row r="21" spans="1:7" x14ac:dyDescent="0.3">
      <c r="A21" s="29"/>
      <c r="B21" s="29"/>
      <c r="C21" s="29"/>
      <c r="D21" s="29"/>
      <c r="E21" s="29"/>
      <c r="F21" s="29"/>
      <c r="G21" s="29"/>
    </row>
    <row r="22" spans="1:7" x14ac:dyDescent="0.3">
      <c r="A22" s="29"/>
      <c r="B22" s="29"/>
      <c r="C22" s="29"/>
      <c r="D22" s="29"/>
      <c r="E22" s="29"/>
      <c r="F22" s="29"/>
      <c r="G22" s="29"/>
    </row>
    <row r="23" spans="1:7" x14ac:dyDescent="0.3">
      <c r="A23" s="29"/>
      <c r="B23" s="29"/>
      <c r="C23" s="29"/>
      <c r="D23" s="29"/>
      <c r="E23" s="29"/>
      <c r="F23" s="29"/>
      <c r="G23" s="29"/>
    </row>
    <row r="24" spans="1:7" x14ac:dyDescent="0.3">
      <c r="A24" s="29"/>
      <c r="B24" s="29"/>
      <c r="C24" s="29"/>
      <c r="D24" s="29"/>
      <c r="E24" s="29"/>
      <c r="F24" s="29"/>
      <c r="G24" s="29"/>
    </row>
    <row r="25" spans="1:7" x14ac:dyDescent="0.3">
      <c r="A25" s="29"/>
      <c r="B25" s="29"/>
      <c r="C25" s="29"/>
      <c r="D25" s="29"/>
      <c r="E25" s="29"/>
      <c r="F25" s="29"/>
      <c r="G25" s="29"/>
    </row>
    <row r="26" spans="1:7" x14ac:dyDescent="0.3">
      <c r="A26" s="29"/>
      <c r="B26" s="29"/>
      <c r="C26" s="29"/>
      <c r="D26" s="29"/>
      <c r="E26" s="29"/>
      <c r="F26" s="29"/>
      <c r="G26" s="29"/>
    </row>
  </sheetData>
  <mergeCells count="1">
    <mergeCell ref="A16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zoomScaleNormal="100" workbookViewId="0">
      <selection activeCell="B4" sqref="B4"/>
    </sheetView>
  </sheetViews>
  <sheetFormatPr defaultColWidth="8.6640625" defaultRowHeight="14.4" x14ac:dyDescent="0.3"/>
  <cols>
    <col min="1" max="1" width="34" customWidth="1"/>
    <col min="2" max="5" width="16" customWidth="1"/>
  </cols>
  <sheetData>
    <row r="1" spans="1:4" ht="17.399999999999999" x14ac:dyDescent="0.3">
      <c r="A1" s="4" t="s">
        <v>61</v>
      </c>
    </row>
    <row r="2" spans="1:4" x14ac:dyDescent="0.3">
      <c r="A2" s="5" t="s">
        <v>62</v>
      </c>
    </row>
    <row r="4" spans="1:4" x14ac:dyDescent="0.3">
      <c r="A4" s="21" t="s">
        <v>63</v>
      </c>
      <c r="B4" s="22">
        <f>SUMPRODUCT((Orders!$A$5:$A$504&lt;&gt;"")/COUNTIF(Orders!$A$5:$A$504,Orders!$A$5:$A$504&amp;""))</f>
        <v>4</v>
      </c>
    </row>
    <row r="5" spans="1:4" x14ac:dyDescent="0.3">
      <c r="A5" s="21" t="s">
        <v>64</v>
      </c>
      <c r="B5" s="22">
        <f>SUMPRODUCT((Orders!$W$5:$W$504="Won")/COUNTIFS(Orders!$A$5:$A$504,Orders!$A$5:$A$504&amp;"",Orders!$W$5:$W$504,Orders!$W$5:$W$504&amp;""))</f>
        <v>2</v>
      </c>
    </row>
    <row r="6" spans="1:4" x14ac:dyDescent="0.3">
      <c r="A6" s="21" t="s">
        <v>65</v>
      </c>
      <c r="B6" s="23">
        <f>IFERROR(B5/B4,0)</f>
        <v>0.5</v>
      </c>
    </row>
    <row r="7" spans="1:4" x14ac:dyDescent="0.3">
      <c r="A7" s="21" t="s">
        <v>66</v>
      </c>
      <c r="B7" s="20">
        <f>SUMIFS(Orders!$S$5:$S$504,Orders!$W$5:$W$504,"Won")</f>
        <v>52400</v>
      </c>
    </row>
    <row r="8" spans="1:4" x14ac:dyDescent="0.3">
      <c r="A8" s="21" t="s">
        <v>67</v>
      </c>
      <c r="B8" s="20">
        <f>IFERROR(B7/B5,0)</f>
        <v>26200</v>
      </c>
    </row>
    <row r="9" spans="1:4" x14ac:dyDescent="0.3">
      <c r="A9" s="21" t="s">
        <v>68</v>
      </c>
      <c r="B9" s="24">
        <f>SUMIFS(Orders!$L$5:$L$504,Orders!$W$5:$W$504,"Won")</f>
        <v>250</v>
      </c>
    </row>
    <row r="10" spans="1:4" x14ac:dyDescent="0.3">
      <c r="A10" s="21" t="s">
        <v>69</v>
      </c>
      <c r="B10" s="23">
        <f>IFERROR(1-SUMIFS(Orders!$Q$5:$Q$504,Orders!$W$5:$W$504,"Won")/SUMIFS(Orders!$AC$5:$AC$504,Orders!$W$5:$W$504,"Won"),0)</f>
        <v>0.11932773109243699</v>
      </c>
    </row>
    <row r="11" spans="1:4" x14ac:dyDescent="0.3">
      <c r="A11" s="21" t="s">
        <v>70</v>
      </c>
      <c r="B11" s="20">
        <f>SUMIFS(Orders!$X$5:$X$504,Orders!$W$5:$W$504,"Won")</f>
        <v>22400</v>
      </c>
    </row>
    <row r="13" spans="1:4" ht="31.5" customHeight="1" x14ac:dyDescent="0.3">
      <c r="A13" s="6" t="s">
        <v>71</v>
      </c>
      <c r="B13" s="6" t="s">
        <v>72</v>
      </c>
      <c r="C13" s="6" t="s">
        <v>73</v>
      </c>
      <c r="D13" s="6" t="s">
        <v>74</v>
      </c>
    </row>
    <row r="14" spans="1:4" x14ac:dyDescent="0.3">
      <c r="A14" s="21" t="s">
        <v>49</v>
      </c>
      <c r="B14">
        <f>COUNTIF(Orders!$G$5:$G$504,A14)</f>
        <v>7</v>
      </c>
      <c r="C14">
        <f>COUNTIFS(Orders!$G$5:$G$504,A14,Orders!$W$5:$W$504,"Won")</f>
        <v>2</v>
      </c>
      <c r="D14" s="17">
        <f>SUMIFS(Orders!$S$5:$S$504,Orders!$G$5:$G$504,A14,Orders!$W$5:$W$504,"Won")</f>
        <v>52400</v>
      </c>
    </row>
    <row r="15" spans="1:4" x14ac:dyDescent="0.3">
      <c r="A15" s="21" t="s">
        <v>75</v>
      </c>
      <c r="B15">
        <f>COUNTIF(Orders!$G$5:$G$504,A15)</f>
        <v>0</v>
      </c>
      <c r="C15">
        <f>COUNTIFS(Orders!$G$5:$G$504,A15,Orders!$W$5:$W$504,"Won")</f>
        <v>0</v>
      </c>
      <c r="D15" s="17">
        <f>SUMIFS(Orders!$S$5:$S$504,Orders!$G$5:$G$504,A15,Orders!$W$5:$W$504,"Won")</f>
        <v>0</v>
      </c>
    </row>
    <row r="16" spans="1:4" x14ac:dyDescent="0.3">
      <c r="A16" s="21" t="s">
        <v>76</v>
      </c>
      <c r="B16">
        <f>COUNTIF(Orders!$G$5:$G$504,A16)</f>
        <v>0</v>
      </c>
      <c r="C16">
        <f>COUNTIFS(Orders!$G$5:$G$504,A16,Orders!$W$5:$W$504,"Won")</f>
        <v>0</v>
      </c>
      <c r="D16" s="17">
        <f>SUMIFS(Orders!$S$5:$S$504,Orders!$G$5:$G$504,A16,Orders!$W$5:$W$504,"Won")</f>
        <v>0</v>
      </c>
    </row>
    <row r="17" spans="1:4" x14ac:dyDescent="0.3">
      <c r="A17" s="21" t="s">
        <v>77</v>
      </c>
      <c r="B17">
        <f>COUNTIF(Orders!$G$5:$G$504,A17)</f>
        <v>0</v>
      </c>
      <c r="C17">
        <f>COUNTIFS(Orders!$G$5:$G$504,A17,Orders!$W$5:$W$504,"Won")</f>
        <v>0</v>
      </c>
      <c r="D17" s="17">
        <f>SUMIFS(Orders!$S$5:$S$504,Orders!$G$5:$G$504,A17,Orders!$W$5:$W$504,"Won")</f>
        <v>0</v>
      </c>
    </row>
    <row r="18" spans="1:4" x14ac:dyDescent="0.3">
      <c r="A18" s="21" t="s">
        <v>78</v>
      </c>
      <c r="B18">
        <f>COUNTIF(Orders!$G$5:$G$504,A18)</f>
        <v>0</v>
      </c>
      <c r="C18">
        <f>COUNTIFS(Orders!$G$5:$G$504,A18,Orders!$W$5:$W$504,"Won")</f>
        <v>0</v>
      </c>
      <c r="D18" s="17">
        <f>SUMIFS(Orders!$S$5:$S$504,Orders!$G$5:$G$504,A18,Orders!$W$5:$W$504,"Won")</f>
        <v>0</v>
      </c>
    </row>
    <row r="19" spans="1:4" x14ac:dyDescent="0.3">
      <c r="A19" s="21" t="s">
        <v>79</v>
      </c>
      <c r="B19">
        <f>COUNTIF(Orders!$G$5:$G$504,A19)</f>
        <v>0</v>
      </c>
      <c r="C19">
        <f>COUNTIFS(Orders!$G$5:$G$504,A19,Orders!$W$5:$W$504,"Won")</f>
        <v>0</v>
      </c>
      <c r="D19" s="17">
        <f>SUMIFS(Orders!$S$5:$S$504,Orders!$G$5:$G$504,A19,Orders!$W$5:$W$504,"Won")</f>
        <v>0</v>
      </c>
    </row>
    <row r="20" spans="1:4" x14ac:dyDescent="0.3">
      <c r="A20" s="21" t="s">
        <v>80</v>
      </c>
      <c r="B20">
        <f>COUNTIF(Orders!$G$5:$G$504,A20)</f>
        <v>0</v>
      </c>
      <c r="C20">
        <f>COUNTIFS(Orders!$G$5:$G$504,A20,Orders!$W$5:$W$504,"Won")</f>
        <v>0</v>
      </c>
      <c r="D20" s="17">
        <f>SUMIFS(Orders!$S$5:$S$504,Orders!$G$5:$G$504,A20,Orders!$W$5:$W$504,"Won")</f>
        <v>0</v>
      </c>
    </row>
    <row r="21" spans="1:4" x14ac:dyDescent="0.3">
      <c r="A21" s="21" t="s">
        <v>81</v>
      </c>
      <c r="B21">
        <f>COUNTIF(Orders!$G$5:$G$504,A21)</f>
        <v>0</v>
      </c>
      <c r="C21">
        <f>COUNTIFS(Orders!$G$5:$G$504,A21,Orders!$W$5:$W$504,"Won")</f>
        <v>0</v>
      </c>
      <c r="D21" s="17">
        <f>SUMIFS(Orders!$S$5:$S$504,Orders!$G$5:$G$504,A21,Orders!$W$5:$W$504,"Won")</f>
        <v>0</v>
      </c>
    </row>
    <row r="23" spans="1:4" ht="31.5" customHeight="1" x14ac:dyDescent="0.3">
      <c r="A23" s="6" t="s">
        <v>82</v>
      </c>
      <c r="B23" s="6" t="s">
        <v>72</v>
      </c>
      <c r="C23" s="6" t="s">
        <v>73</v>
      </c>
      <c r="D23" s="6" t="s">
        <v>74</v>
      </c>
    </row>
    <row r="24" spans="1:4" x14ac:dyDescent="0.3">
      <c r="A24" s="21" t="s">
        <v>47</v>
      </c>
      <c r="B24">
        <f>COUNTIF(Orders!$E$5:$E$504,A24)</f>
        <v>5</v>
      </c>
      <c r="C24">
        <f>COUNTIFS(Orders!$E$5:$E$504,A24,Orders!$W$5:$W$504,"Won")</f>
        <v>1</v>
      </c>
      <c r="D24" s="17">
        <f>SUMIFS(Orders!$S$5:$S$504,Orders!$E$5:$E$504,A24,Orders!$W$5:$W$504,"Won")</f>
        <v>19800</v>
      </c>
    </row>
    <row r="25" spans="1:4" x14ac:dyDescent="0.3">
      <c r="A25" s="21" t="s">
        <v>83</v>
      </c>
      <c r="B25">
        <f>COUNTIF(Orders!$E$5:$E$504,A25)</f>
        <v>2</v>
      </c>
      <c r="C25">
        <f>COUNTIFS(Orders!$E$5:$E$504,A25,Orders!$W$5:$W$504,"Won")</f>
        <v>1</v>
      </c>
      <c r="D25" s="17">
        <f>SUMIFS(Orders!$S$5:$S$504,Orders!$E$5:$E$504,A25,Orders!$W$5:$W$504,"Won")</f>
        <v>32600</v>
      </c>
    </row>
    <row r="27" spans="1:4" ht="31.5" customHeight="1" x14ac:dyDescent="0.3">
      <c r="A27" s="6" t="s">
        <v>84</v>
      </c>
      <c r="B27" s="6" t="s">
        <v>72</v>
      </c>
      <c r="C27" s="6" t="s">
        <v>73</v>
      </c>
      <c r="D27" s="6" t="s">
        <v>74</v>
      </c>
    </row>
    <row r="28" spans="1:4" x14ac:dyDescent="0.3">
      <c r="A28" s="21" t="s">
        <v>48</v>
      </c>
      <c r="B28">
        <f>COUNTIF(Orders!$F$5:$F$504,A28)</f>
        <v>6</v>
      </c>
      <c r="C28">
        <f>COUNTIFS(Orders!$F$5:$F$504,A28,Orders!$W$5:$W$504,"Won")</f>
        <v>2</v>
      </c>
      <c r="D28" s="17">
        <f>SUMIFS(Orders!$S$5:$S$504,Orders!$F$5:$F$504,A28,Orders!$W$5:$W$504,"Won")</f>
        <v>52400</v>
      </c>
    </row>
    <row r="29" spans="1:4" x14ac:dyDescent="0.3">
      <c r="A29" s="21" t="s">
        <v>85</v>
      </c>
      <c r="B29">
        <f>COUNTIF(Orders!$F$5:$F$504,A29)</f>
        <v>0</v>
      </c>
      <c r="C29">
        <f>COUNTIFS(Orders!$F$5:$F$504,A29,Orders!$W$5:$W$504,"Won")</f>
        <v>0</v>
      </c>
      <c r="D29" s="17">
        <f>SUMIFS(Orders!$S$5:$S$504,Orders!$F$5:$F$504,A29,Orders!$W$5:$W$504,"Won")</f>
        <v>0</v>
      </c>
    </row>
    <row r="30" spans="1:4" x14ac:dyDescent="0.3">
      <c r="A30" s="21" t="s">
        <v>86</v>
      </c>
      <c r="B30">
        <f>COUNTIF(Orders!$F$5:$F$504,A30)</f>
        <v>0</v>
      </c>
      <c r="C30">
        <f>COUNTIFS(Orders!$F$5:$F$504,A30,Orders!$W$5:$W$504,"Won")</f>
        <v>0</v>
      </c>
      <c r="D30" s="17">
        <f>SUMIFS(Orders!$S$5:$S$504,Orders!$F$5:$F$504,A30,Orders!$W$5:$W$504,"Won")</f>
        <v>0</v>
      </c>
    </row>
    <row r="31" spans="1:4" x14ac:dyDescent="0.3">
      <c r="A31" s="21" t="s">
        <v>87</v>
      </c>
      <c r="B31">
        <f>COUNTIF(Orders!$F$5:$F$504,A31)</f>
        <v>0</v>
      </c>
      <c r="C31">
        <f>COUNTIFS(Orders!$F$5:$F$504,A31,Orders!$W$5:$W$504,"Won")</f>
        <v>0</v>
      </c>
      <c r="D31" s="17">
        <f>SUMIFS(Orders!$S$5:$S$504,Orders!$F$5:$F$504,A31,Orders!$W$5:$W$504,"Won")</f>
        <v>0</v>
      </c>
    </row>
    <row r="32" spans="1:4" x14ac:dyDescent="0.3">
      <c r="A32" s="21" t="s">
        <v>88</v>
      </c>
      <c r="B32">
        <f>COUNTIF(Orders!$F$5:$F$504,A32)</f>
        <v>0</v>
      </c>
      <c r="C32">
        <f>COUNTIFS(Orders!$F$5:$F$504,A32,Orders!$W$5:$W$504,"Won")</f>
        <v>0</v>
      </c>
      <c r="D32" s="17">
        <f>SUMIFS(Orders!$S$5:$S$504,Orders!$F$5:$F$504,A32,Orders!$W$5:$W$504,"Won")</f>
        <v>0</v>
      </c>
    </row>
    <row r="33" spans="1:4" x14ac:dyDescent="0.3">
      <c r="A33" s="21" t="s">
        <v>89</v>
      </c>
      <c r="B33">
        <f>COUNTIF(Orders!$F$5:$F$504,A33)</f>
        <v>0</v>
      </c>
      <c r="C33">
        <f>COUNTIFS(Orders!$F$5:$F$504,A33,Orders!$W$5:$W$504,"Won")</f>
        <v>0</v>
      </c>
      <c r="D33" s="17">
        <f>SUMIFS(Orders!$S$5:$S$504,Orders!$F$5:$F$504,A33,Orders!$W$5:$W$504,"Won")</f>
        <v>0</v>
      </c>
    </row>
    <row r="34" spans="1:4" x14ac:dyDescent="0.3">
      <c r="A34" s="21" t="s">
        <v>90</v>
      </c>
      <c r="B34">
        <f>COUNTIF(Orders!$F$5:$F$504,A34)</f>
        <v>0</v>
      </c>
      <c r="C34">
        <f>COUNTIFS(Orders!$F$5:$F$504,A34,Orders!$W$5:$W$504,"Won")</f>
        <v>0</v>
      </c>
      <c r="D34" s="17">
        <f>SUMIFS(Orders!$S$5:$S$504,Orders!$F$5:$F$504,A34,Orders!$W$5:$W$504,"Won")</f>
        <v>0</v>
      </c>
    </row>
    <row r="35" spans="1:4" x14ac:dyDescent="0.3">
      <c r="A35" s="21" t="s">
        <v>91</v>
      </c>
      <c r="B35">
        <f>COUNTIF(Orders!$F$5:$F$504,A35)</f>
        <v>0</v>
      </c>
      <c r="C35">
        <f>COUNTIFS(Orders!$F$5:$F$504,A35,Orders!$W$5:$W$504,"Won")</f>
        <v>0</v>
      </c>
      <c r="D35" s="17">
        <f>SUMIFS(Orders!$S$5:$S$504,Orders!$F$5:$F$504,A35,Orders!$W$5:$W$504,"Won")</f>
        <v>0</v>
      </c>
    </row>
    <row r="36" spans="1:4" x14ac:dyDescent="0.3">
      <c r="A36" s="21" t="s">
        <v>92</v>
      </c>
      <c r="B36">
        <f>COUNTIF(Orders!$F$5:$F$504,A36)</f>
        <v>0</v>
      </c>
      <c r="C36">
        <f>COUNTIFS(Orders!$F$5:$F$504,A36,Orders!$W$5:$W$504,"Won")</f>
        <v>0</v>
      </c>
      <c r="D36" s="17">
        <f>SUMIFS(Orders!$S$5:$S$504,Orders!$F$5:$F$504,A36,Orders!$W$5:$W$504,"Won")</f>
        <v>0</v>
      </c>
    </row>
    <row r="37" spans="1:4" x14ac:dyDescent="0.3">
      <c r="A37" s="21" t="s">
        <v>81</v>
      </c>
      <c r="B37">
        <f>COUNTIF(Orders!$F$5:$F$504,A37)</f>
        <v>1</v>
      </c>
      <c r="C37">
        <f>COUNTIFS(Orders!$F$5:$F$504,A37,Orders!$W$5:$W$504,"Won")</f>
        <v>0</v>
      </c>
      <c r="D37" s="17">
        <f>SUMIFS(Orders!$S$5:$S$504,Orders!$F$5:$F$504,A37,Orders!$W$5:$W$504,"Won")</f>
        <v>0</v>
      </c>
    </row>
    <row r="39" spans="1:4" ht="31.5" customHeight="1" x14ac:dyDescent="0.3">
      <c r="A39" s="6" t="s">
        <v>36</v>
      </c>
      <c r="B39" s="6" t="s">
        <v>72</v>
      </c>
      <c r="C39" s="6"/>
      <c r="D39" s="6"/>
    </row>
    <row r="40" spans="1:4" x14ac:dyDescent="0.3">
      <c r="A40" s="21" t="s">
        <v>93</v>
      </c>
      <c r="B40">
        <f>COUNTIF(Orders!$U$5:$U$504,A40)</f>
        <v>1</v>
      </c>
    </row>
    <row r="41" spans="1:4" x14ac:dyDescent="0.3">
      <c r="A41" s="21" t="s">
        <v>94</v>
      </c>
      <c r="B41">
        <f>COUNTIF(Orders!$U$5:$U$504,A41)</f>
        <v>0</v>
      </c>
    </row>
    <row r="42" spans="1:4" x14ac:dyDescent="0.3">
      <c r="A42" s="21" t="s">
        <v>95</v>
      </c>
      <c r="B42">
        <f>COUNTIF(Orders!$U$5:$U$504,A42)</f>
        <v>0</v>
      </c>
    </row>
    <row r="43" spans="1:4" x14ac:dyDescent="0.3">
      <c r="A43" s="21" t="s">
        <v>51</v>
      </c>
      <c r="B43">
        <f>COUNTIF(Orders!$U$5:$U$504,A43)</f>
        <v>0</v>
      </c>
    </row>
    <row r="44" spans="1:4" x14ac:dyDescent="0.3">
      <c r="A44" s="21" t="s">
        <v>96</v>
      </c>
      <c r="B44">
        <f>COUNTIF(Orders!$U$5:$U$504,A44)</f>
        <v>0</v>
      </c>
    </row>
    <row r="45" spans="1:4" x14ac:dyDescent="0.3">
      <c r="A45" s="21" t="s">
        <v>97</v>
      </c>
      <c r="B45">
        <f>COUNTIF(Orders!$U$5:$U$504,A45)</f>
        <v>0</v>
      </c>
    </row>
    <row r="46" spans="1:4" x14ac:dyDescent="0.3">
      <c r="A46" s="21" t="s">
        <v>98</v>
      </c>
      <c r="B46">
        <f>COUNTIF(Orders!$U$5:$U$504,A46)</f>
        <v>2</v>
      </c>
    </row>
    <row r="47" spans="1:4" x14ac:dyDescent="0.3">
      <c r="A47" s="21" t="s">
        <v>99</v>
      </c>
      <c r="B47">
        <f>COUNTIF(Orders!$U$5:$U$504,A47)</f>
        <v>0</v>
      </c>
    </row>
    <row r="49" spans="1:4" ht="31.5" customHeight="1" x14ac:dyDescent="0.3">
      <c r="A49" s="6" t="s">
        <v>42</v>
      </c>
      <c r="B49" s="6" t="s">
        <v>72</v>
      </c>
      <c r="C49" s="6"/>
      <c r="D49" s="6"/>
    </row>
    <row r="50" spans="1:4" x14ac:dyDescent="0.3">
      <c r="A50" s="21" t="s">
        <v>100</v>
      </c>
      <c r="B50">
        <f>COUNTIF(Orders!$AA$5:$AA$504,A50)</f>
        <v>0</v>
      </c>
    </row>
    <row r="51" spans="1:4" x14ac:dyDescent="0.3">
      <c r="A51" s="21" t="s">
        <v>101</v>
      </c>
      <c r="B51">
        <f>COUNTIF(Orders!$AA$5:$AA$504,A51)</f>
        <v>0</v>
      </c>
    </row>
    <row r="52" spans="1:4" x14ac:dyDescent="0.3">
      <c r="A52" s="21" t="s">
        <v>102</v>
      </c>
      <c r="B52">
        <f>COUNTIF(Orders!$AA$5:$AA$504,A52)</f>
        <v>0</v>
      </c>
    </row>
    <row r="53" spans="1:4" x14ac:dyDescent="0.3">
      <c r="A53" s="21" t="s">
        <v>103</v>
      </c>
      <c r="B53">
        <f>COUNTIF(Orders!$AA$5:$AA$504,A53)</f>
        <v>0</v>
      </c>
    </row>
    <row r="54" spans="1:4" x14ac:dyDescent="0.3">
      <c r="A54" s="21" t="s">
        <v>104</v>
      </c>
      <c r="B54">
        <f>COUNTIF(Orders!$AA$5:$AA$504,A54)</f>
        <v>0</v>
      </c>
    </row>
    <row r="55" spans="1:4" x14ac:dyDescent="0.3">
      <c r="A55" s="21" t="s">
        <v>81</v>
      </c>
      <c r="B55">
        <f>COUNTIF(Orders!$AA$5:$AA$504,A55)</f>
        <v>0</v>
      </c>
    </row>
    <row r="57" spans="1:4" x14ac:dyDescent="0.3">
      <c r="A57" s="25" t="s">
        <v>105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zoomScaleNormal="100" workbookViewId="0">
      <selection activeCell="B6" sqref="B6"/>
    </sheetView>
  </sheetViews>
  <sheetFormatPr defaultColWidth="8.6640625" defaultRowHeight="14.4" x14ac:dyDescent="0.3"/>
  <cols>
    <col min="1" max="1" width="18" customWidth="1"/>
    <col min="2" max="2" width="14" customWidth="1"/>
  </cols>
  <sheetData>
    <row r="1" spans="1:2" ht="17.399999999999999" x14ac:dyDescent="0.3">
      <c r="A1" s="4" t="s">
        <v>106</v>
      </c>
    </row>
    <row r="2" spans="1:2" x14ac:dyDescent="0.3">
      <c r="A2" s="5" t="s">
        <v>107</v>
      </c>
    </row>
    <row r="4" spans="1:2" ht="31.5" customHeight="1" x14ac:dyDescent="0.3">
      <c r="A4" s="6" t="s">
        <v>108</v>
      </c>
      <c r="B4" s="6" t="s">
        <v>109</v>
      </c>
    </row>
    <row r="5" spans="1:2" x14ac:dyDescent="0.3">
      <c r="A5" s="15">
        <v>1</v>
      </c>
      <c r="B5" s="26">
        <v>0</v>
      </c>
    </row>
    <row r="6" spans="1:2" x14ac:dyDescent="0.3">
      <c r="A6" s="15">
        <v>25</v>
      </c>
      <c r="B6" s="26">
        <v>0.05</v>
      </c>
    </row>
    <row r="7" spans="1:2" x14ac:dyDescent="0.3">
      <c r="A7" s="15">
        <v>50</v>
      </c>
      <c r="B7" s="26">
        <v>0.08</v>
      </c>
    </row>
    <row r="8" spans="1:2" x14ac:dyDescent="0.3">
      <c r="A8" s="15">
        <v>100</v>
      </c>
      <c r="B8" s="26">
        <v>0.12</v>
      </c>
    </row>
    <row r="9" spans="1:2" x14ac:dyDescent="0.3">
      <c r="A9" s="15">
        <v>250</v>
      </c>
      <c r="B9" s="26">
        <v>0.15</v>
      </c>
    </row>
    <row r="11" spans="1:2" x14ac:dyDescent="0.3">
      <c r="A11" s="14" t="s">
        <v>110</v>
      </c>
      <c r="B11" s="26">
        <v>0.15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J108"/>
  <sheetViews>
    <sheetView tabSelected="1" zoomScaleNormal="100" workbookViewId="0">
      <pane xSplit="2" ySplit="4" topLeftCell="C52" activePane="bottomRight" state="frozen"/>
      <selection pane="topRight" activeCell="C1" sqref="C1"/>
      <selection pane="bottomLeft" activeCell="A5" sqref="A5"/>
      <selection pane="bottomRight" activeCell="C54" sqref="C54"/>
    </sheetView>
  </sheetViews>
  <sheetFormatPr defaultColWidth="8.6640625" defaultRowHeight="14.4" x14ac:dyDescent="0.3"/>
  <cols>
    <col min="1" max="1" width="6" customWidth="1"/>
    <col min="2" max="2" width="28" customWidth="1"/>
    <col min="3" max="3" width="22" customWidth="1"/>
    <col min="4" max="4" width="34" customWidth="1"/>
    <col min="5" max="5" width="13" customWidth="1"/>
    <col min="6" max="6" width="14" customWidth="1"/>
    <col min="7" max="7" width="13" customWidth="1"/>
    <col min="8" max="8" width="15" customWidth="1"/>
    <col min="9" max="9" width="14" customWidth="1"/>
    <col min="10" max="10" width="15" customWidth="1"/>
  </cols>
  <sheetData>
    <row r="1" spans="1:10" ht="17.399999999999999" x14ac:dyDescent="0.3">
      <c r="A1" s="4" t="s">
        <v>111</v>
      </c>
    </row>
    <row r="2" spans="1:10" x14ac:dyDescent="0.3">
      <c r="A2" s="5" t="s">
        <v>112</v>
      </c>
    </row>
    <row r="4" spans="1:10" ht="31.5" customHeight="1" x14ac:dyDescent="0.3">
      <c r="A4" s="6" t="s">
        <v>113</v>
      </c>
      <c r="B4" s="6" t="s">
        <v>114</v>
      </c>
      <c r="C4" s="6" t="s">
        <v>115</v>
      </c>
      <c r="D4" s="6" t="s">
        <v>116</v>
      </c>
      <c r="E4" s="6" t="s">
        <v>28</v>
      </c>
      <c r="F4" s="6" t="s">
        <v>117</v>
      </c>
      <c r="G4" s="6" t="s">
        <v>118</v>
      </c>
      <c r="H4" s="6" t="s">
        <v>119</v>
      </c>
      <c r="I4" s="6" t="s">
        <v>120</v>
      </c>
      <c r="J4" s="6" t="s">
        <v>74</v>
      </c>
    </row>
    <row r="5" spans="1:10" hidden="1" x14ac:dyDescent="0.3">
      <c r="A5" s="21">
        <v>1</v>
      </c>
      <c r="B5" s="21" t="s">
        <v>121</v>
      </c>
      <c r="C5" s="21" t="s">
        <v>122</v>
      </c>
      <c r="D5" s="21" t="s">
        <v>123</v>
      </c>
      <c r="E5" s="27">
        <v>900</v>
      </c>
      <c r="F5" s="16">
        <v>600</v>
      </c>
      <c r="G5" s="28">
        <f>IF(F5="","",(E5-F5)/E5)</f>
        <v>0.33333333333333331</v>
      </c>
      <c r="H5" s="28">
        <f>IF(F5="","",(E5*(1-'Discount Slabs'!$B$11)-F5)/(E5*(1-'Discount Slabs'!$B$11)))</f>
        <v>0.21568627450980393</v>
      </c>
      <c r="I5" s="21">
        <f>SUMIFS(Orders!$L$5:$L$504,Orders!$J$5:$J$504,A5,Orders!$W$5:$W$504,"Won")</f>
        <v>0</v>
      </c>
      <c r="J5" s="27">
        <f>SUMIFS(Orders!$Q$5:$Q$504,Orders!$J$5:$J$504,A5,Orders!$W$5:$W$504,"Won")</f>
        <v>0</v>
      </c>
    </row>
    <row r="6" spans="1:10" hidden="1" x14ac:dyDescent="0.3">
      <c r="A6" s="21">
        <v>2</v>
      </c>
      <c r="B6" s="31" t="s">
        <v>257</v>
      </c>
      <c r="C6" s="21" t="s">
        <v>122</v>
      </c>
      <c r="D6" s="21" t="s">
        <v>124</v>
      </c>
      <c r="E6" s="27">
        <v>650</v>
      </c>
      <c r="F6" s="16"/>
      <c r="G6" s="28" t="str">
        <f>IF(F6="","",(E6-F6)/E6)</f>
        <v/>
      </c>
      <c r="H6" s="28" t="str">
        <f>IF(F6="","",(E6*(1-'Discount Slabs'!$B$11)-F6)/(E6*(1-'Discount Slabs'!$B$11)))</f>
        <v/>
      </c>
      <c r="I6" s="21">
        <f>SUMIFS(Orders!$L$5:$L$504,Orders!$J$5:$J$504,A6,Orders!$W$5:$W$504,"Won")</f>
        <v>0</v>
      </c>
      <c r="J6" s="27">
        <f>SUMIFS(Orders!$Q$5:$Q$504,Orders!$J$5:$J$504,A6,Orders!$W$5:$W$504,"Won")</f>
        <v>0</v>
      </c>
    </row>
    <row r="7" spans="1:10" hidden="1" x14ac:dyDescent="0.3">
      <c r="A7" s="21">
        <v>3</v>
      </c>
      <c r="B7" s="31" t="s">
        <v>248</v>
      </c>
      <c r="C7" s="21" t="s">
        <v>122</v>
      </c>
      <c r="D7" s="21" t="s">
        <v>125</v>
      </c>
      <c r="E7" s="27">
        <v>420</v>
      </c>
      <c r="F7" s="16"/>
      <c r="G7" s="28" t="str">
        <f>IF(F7="","",(E7-F7)/E7)</f>
        <v/>
      </c>
      <c r="H7" s="28" t="str">
        <f>IF(F7="","",(E7*(1-'Discount Slabs'!$B$11)-F7)/(E7*(1-'Discount Slabs'!$B$11)))</f>
        <v/>
      </c>
      <c r="I7" s="21">
        <f>SUMIFS(Orders!$L$5:$L$504,Orders!$J$5:$J$504,A7,Orders!$W$5:$W$504,"Won")</f>
        <v>0</v>
      </c>
      <c r="J7" s="27">
        <f>SUMIFS(Orders!$Q$5:$Q$504,Orders!$J$5:$J$504,A7,Orders!$W$5:$W$504,"Won")</f>
        <v>0</v>
      </c>
    </row>
    <row r="8" spans="1:10" hidden="1" x14ac:dyDescent="0.3">
      <c r="A8" s="21">
        <v>4</v>
      </c>
      <c r="B8" s="31" t="s">
        <v>258</v>
      </c>
      <c r="C8" s="21" t="s">
        <v>122</v>
      </c>
      <c r="D8" s="21" t="s">
        <v>126</v>
      </c>
      <c r="E8" s="27">
        <v>1200</v>
      </c>
      <c r="F8" s="16"/>
      <c r="G8" s="28" t="str">
        <f>IF(F8="","",(E8-F8)/E8)</f>
        <v/>
      </c>
      <c r="H8" s="28" t="str">
        <f>IF(F8="","",(E8*(1-'Discount Slabs'!$B$11)-F8)/(E8*(1-'Discount Slabs'!$B$11)))</f>
        <v/>
      </c>
      <c r="I8" s="21">
        <f>SUMIFS(Orders!$L$5:$L$504,Orders!$J$5:$J$504,A8,Orders!$W$5:$W$504,"Won")</f>
        <v>0</v>
      </c>
      <c r="J8" s="27">
        <f>SUMIFS(Orders!$Q$5:$Q$504,Orders!$J$5:$J$504,A8,Orders!$W$5:$W$504,"Won")</f>
        <v>0</v>
      </c>
    </row>
    <row r="9" spans="1:10" hidden="1" x14ac:dyDescent="0.3">
      <c r="A9" s="21">
        <v>5</v>
      </c>
      <c r="B9" s="30" t="s">
        <v>226</v>
      </c>
      <c r="C9" s="21" t="s">
        <v>122</v>
      </c>
      <c r="D9" s="21" t="s">
        <v>127</v>
      </c>
      <c r="E9" s="27">
        <v>420</v>
      </c>
      <c r="F9" s="16"/>
      <c r="G9" s="28" t="str">
        <f>IF(F9="","",(E9-F9)/E9)</f>
        <v/>
      </c>
      <c r="H9" s="28" t="str">
        <f>IF(F9="","",(E9*(1-'Discount Slabs'!$B$11)-F9)/(E9*(1-'Discount Slabs'!$B$11)))</f>
        <v/>
      </c>
      <c r="I9" s="21">
        <f>SUMIFS(Orders!$L$5:$L$504,Orders!$J$5:$J$504,A9,Orders!$W$5:$W$504,"Won")</f>
        <v>0</v>
      </c>
      <c r="J9" s="27">
        <f>SUMIFS(Orders!$Q$5:$Q$504,Orders!$J$5:$J$504,A9,Orders!$W$5:$W$504,"Won")</f>
        <v>0</v>
      </c>
    </row>
    <row r="10" spans="1:10" hidden="1" x14ac:dyDescent="0.3">
      <c r="A10" s="21">
        <v>6</v>
      </c>
      <c r="B10" s="31" t="s">
        <v>259</v>
      </c>
      <c r="C10" s="21" t="s">
        <v>122</v>
      </c>
      <c r="D10" s="21" t="s">
        <v>128</v>
      </c>
      <c r="E10" s="27">
        <v>665</v>
      </c>
      <c r="F10" s="16"/>
      <c r="G10" s="28" t="str">
        <f>IF(F10="","",(E10-F10)/E10)</f>
        <v/>
      </c>
      <c r="H10" s="28" t="str">
        <f>IF(F10="","",(E10*(1-'Discount Slabs'!$B$11)-F10)/(E10*(1-'Discount Slabs'!$B$11)))</f>
        <v/>
      </c>
      <c r="I10" s="21">
        <f>SUMIFS(Orders!$L$5:$L$504,Orders!$J$5:$J$504,A10,Orders!$W$5:$W$504,"Won")</f>
        <v>0</v>
      </c>
      <c r="J10" s="27">
        <f>SUMIFS(Orders!$Q$5:$Q$504,Orders!$J$5:$J$504,A10,Orders!$W$5:$W$504,"Won")</f>
        <v>0</v>
      </c>
    </row>
    <row r="11" spans="1:10" hidden="1" x14ac:dyDescent="0.3">
      <c r="A11" s="21">
        <v>7</v>
      </c>
      <c r="B11" s="21" t="s">
        <v>129</v>
      </c>
      <c r="C11" s="21" t="s">
        <v>122</v>
      </c>
      <c r="D11" s="21" t="s">
        <v>130</v>
      </c>
      <c r="E11" s="27">
        <v>440</v>
      </c>
      <c r="F11" s="16"/>
      <c r="G11" s="28" t="str">
        <f>IF(F11="","",(E11-F11)/E11)</f>
        <v/>
      </c>
      <c r="H11" s="28" t="str">
        <f>IF(F11="","",(E11*(1-'Discount Slabs'!$B$11)-F11)/(E11*(1-'Discount Slabs'!$B$11)))</f>
        <v/>
      </c>
      <c r="I11" s="21">
        <f>SUMIFS(Orders!$L$5:$L$504,Orders!$J$5:$J$504,A11,Orders!$W$5:$W$504,"Won")</f>
        <v>0</v>
      </c>
      <c r="J11" s="27">
        <f>SUMIFS(Orders!$Q$5:$Q$504,Orders!$J$5:$J$504,A11,Orders!$W$5:$W$504,"Won")</f>
        <v>0</v>
      </c>
    </row>
    <row r="12" spans="1:10" hidden="1" x14ac:dyDescent="0.3">
      <c r="A12" s="21">
        <v>8</v>
      </c>
      <c r="B12" s="30" t="s">
        <v>210</v>
      </c>
      <c r="C12" s="21" t="s">
        <v>122</v>
      </c>
      <c r="D12" s="21" t="s">
        <v>131</v>
      </c>
      <c r="E12" s="27">
        <v>850</v>
      </c>
      <c r="F12" s="16"/>
      <c r="G12" s="28" t="str">
        <f>IF(F12="","",(E12-F12)/E12)</f>
        <v/>
      </c>
      <c r="H12" s="28" t="str">
        <f>IF(F12="","",(E12*(1-'Discount Slabs'!$B$11)-F12)/(E12*(1-'Discount Slabs'!$B$11)))</f>
        <v/>
      </c>
      <c r="I12" s="21">
        <f>SUMIFS(Orders!$L$5:$L$504,Orders!$J$5:$J$504,A12,Orders!$W$5:$W$504,"Won")</f>
        <v>0</v>
      </c>
      <c r="J12" s="27">
        <f>SUMIFS(Orders!$Q$5:$Q$504,Orders!$J$5:$J$504,A12,Orders!$W$5:$W$504,"Won")</f>
        <v>0</v>
      </c>
    </row>
    <row r="13" spans="1:10" hidden="1" x14ac:dyDescent="0.3">
      <c r="A13" s="21">
        <v>9</v>
      </c>
      <c r="B13" s="21" t="s">
        <v>132</v>
      </c>
      <c r="C13" s="21" t="s">
        <v>122</v>
      </c>
      <c r="D13" s="21" t="s">
        <v>133</v>
      </c>
      <c r="E13" s="27">
        <v>540</v>
      </c>
      <c r="F13" s="16"/>
      <c r="G13" s="28" t="str">
        <f>IF(F13="","",(E13-F13)/E13)</f>
        <v/>
      </c>
      <c r="H13" s="28" t="str">
        <f>IF(F13="","",(E13*(1-'Discount Slabs'!$B$11)-F13)/(E13*(1-'Discount Slabs'!$B$11)))</f>
        <v/>
      </c>
      <c r="I13" s="21">
        <f>SUMIFS(Orders!$L$5:$L$504,Orders!$J$5:$J$504,A13,Orders!$W$5:$W$504,"Won")</f>
        <v>0</v>
      </c>
      <c r="J13" s="27">
        <f>SUMIFS(Orders!$Q$5:$Q$504,Orders!$J$5:$J$504,A13,Orders!$W$5:$W$504,"Won")</f>
        <v>0</v>
      </c>
    </row>
    <row r="14" spans="1:10" hidden="1" x14ac:dyDescent="0.3">
      <c r="A14" s="21">
        <v>10</v>
      </c>
      <c r="B14" s="21" t="s">
        <v>134</v>
      </c>
      <c r="C14" s="21" t="s">
        <v>122</v>
      </c>
      <c r="D14" s="21" t="s">
        <v>135</v>
      </c>
      <c r="E14" s="27">
        <v>340</v>
      </c>
      <c r="F14" s="16"/>
      <c r="G14" s="28" t="str">
        <f>IF(F14="","",(E14-F14)/E14)</f>
        <v/>
      </c>
      <c r="H14" s="28" t="str">
        <f>IF(F14="","",(E14*(1-'Discount Slabs'!$B$11)-F14)/(E14*(1-'Discount Slabs'!$B$11)))</f>
        <v/>
      </c>
      <c r="I14" s="21">
        <f>SUMIFS(Orders!$L$5:$L$504,Orders!$J$5:$J$504,A14,Orders!$W$5:$W$504,"Won")</f>
        <v>0</v>
      </c>
      <c r="J14" s="27">
        <f>SUMIFS(Orders!$Q$5:$Q$504,Orders!$J$5:$J$504,A14,Orders!$W$5:$W$504,"Won")</f>
        <v>0</v>
      </c>
    </row>
    <row r="15" spans="1:10" hidden="1" x14ac:dyDescent="0.3">
      <c r="A15" s="21">
        <v>11</v>
      </c>
      <c r="B15" s="21" t="s">
        <v>136</v>
      </c>
      <c r="C15" s="21" t="s">
        <v>122</v>
      </c>
      <c r="D15" s="21" t="s">
        <v>133</v>
      </c>
      <c r="E15" s="27">
        <v>430</v>
      </c>
      <c r="F15" s="16">
        <v>280</v>
      </c>
      <c r="G15" s="28">
        <f>IF(F15="","",(E15-F15)/E15)</f>
        <v>0.34883720930232559</v>
      </c>
      <c r="H15" s="28">
        <f>IF(F15="","",(E15*(1-'Discount Slabs'!$B$11)-F15)/(E15*(1-'Discount Slabs'!$B$11)))</f>
        <v>0.23392612859097128</v>
      </c>
      <c r="I15" s="21">
        <f>SUMIFS(Orders!$L$5:$L$504,Orders!$J$5:$J$504,A15,Orders!$W$5:$W$504,"Won")</f>
        <v>50</v>
      </c>
      <c r="J15" s="27">
        <f>SUMIFS(Orders!$Q$5:$Q$504,Orders!$J$5:$J$504,A15,Orders!$W$5:$W$504,"Won")</f>
        <v>19800</v>
      </c>
    </row>
    <row r="16" spans="1:10" hidden="1" x14ac:dyDescent="0.3">
      <c r="A16" s="21">
        <v>12</v>
      </c>
      <c r="B16" s="21" t="s">
        <v>137</v>
      </c>
      <c r="C16" s="21" t="s">
        <v>122</v>
      </c>
      <c r="D16" s="21" t="s">
        <v>138</v>
      </c>
      <c r="E16" s="27">
        <v>435</v>
      </c>
      <c r="F16" s="16"/>
      <c r="G16" s="28" t="str">
        <f>IF(F16="","",(E16-F16)/E16)</f>
        <v/>
      </c>
      <c r="H16" s="28" t="str">
        <f>IF(F16="","",(E16*(1-'Discount Slabs'!$B$11)-F16)/(E16*(1-'Discount Slabs'!$B$11)))</f>
        <v/>
      </c>
      <c r="I16" s="21">
        <f>SUMIFS(Orders!$L$5:$L$504,Orders!$J$5:$J$504,A16,Orders!$W$5:$W$504,"Won")</f>
        <v>0</v>
      </c>
      <c r="J16" s="27">
        <f>SUMIFS(Orders!$Q$5:$Q$504,Orders!$J$5:$J$504,A16,Orders!$W$5:$W$504,"Won")</f>
        <v>0</v>
      </c>
    </row>
    <row r="17" spans="1:10" hidden="1" x14ac:dyDescent="0.3">
      <c r="A17" s="21">
        <v>13</v>
      </c>
      <c r="B17" s="30" t="s">
        <v>227</v>
      </c>
      <c r="C17" s="21" t="s">
        <v>122</v>
      </c>
      <c r="D17" s="21" t="s">
        <v>139</v>
      </c>
      <c r="E17" s="27">
        <v>520</v>
      </c>
      <c r="F17" s="16"/>
      <c r="G17" s="28" t="str">
        <f>IF(F17="","",(E17-F17)/E17)</f>
        <v/>
      </c>
      <c r="H17" s="28" t="str">
        <f>IF(F17="","",(E17*(1-'Discount Slabs'!$B$11)-F17)/(E17*(1-'Discount Slabs'!$B$11)))</f>
        <v/>
      </c>
      <c r="I17" s="21">
        <f>SUMIFS(Orders!$L$5:$L$504,Orders!$J$5:$J$504,A17,Orders!$W$5:$W$504,"Won")</f>
        <v>0</v>
      </c>
      <c r="J17" s="27">
        <f>SUMIFS(Orders!$Q$5:$Q$504,Orders!$J$5:$J$504,A17,Orders!$W$5:$W$504,"Won")</f>
        <v>0</v>
      </c>
    </row>
    <row r="18" spans="1:10" hidden="1" x14ac:dyDescent="0.3">
      <c r="A18" s="21">
        <v>14</v>
      </c>
      <c r="B18" s="30" t="s">
        <v>209</v>
      </c>
      <c r="C18" s="21" t="s">
        <v>122</v>
      </c>
      <c r="D18" s="21" t="s">
        <v>131</v>
      </c>
      <c r="E18" s="27">
        <v>850</v>
      </c>
      <c r="F18" s="16"/>
      <c r="G18" s="28" t="str">
        <f>IF(F18="","",(E18-F18)/E18)</f>
        <v/>
      </c>
      <c r="H18" s="28" t="str">
        <f>IF(F18="","",(E18*(1-'Discount Slabs'!$B$11)-F18)/(E18*(1-'Discount Slabs'!$B$11)))</f>
        <v/>
      </c>
      <c r="I18" s="21">
        <f>SUMIFS(Orders!$L$5:$L$504,Orders!$J$5:$J$504,A18,Orders!$W$5:$W$504,"Won")</f>
        <v>0</v>
      </c>
      <c r="J18" s="27">
        <f>SUMIFS(Orders!$Q$5:$Q$504,Orders!$J$5:$J$504,A18,Orders!$W$5:$W$504,"Won")</f>
        <v>0</v>
      </c>
    </row>
    <row r="19" spans="1:10" hidden="1" x14ac:dyDescent="0.3">
      <c r="A19" s="21">
        <v>15</v>
      </c>
      <c r="B19" s="32" t="s">
        <v>246</v>
      </c>
      <c r="C19" s="21" t="s">
        <v>140</v>
      </c>
      <c r="D19" s="21" t="s">
        <v>141</v>
      </c>
      <c r="E19" s="27">
        <v>160</v>
      </c>
      <c r="F19" s="16"/>
      <c r="G19" s="28" t="str">
        <f>IF(F19="","",(E19-F19)/E19)</f>
        <v/>
      </c>
      <c r="H19" s="28" t="str">
        <f>IF(F19="","",(E19*(1-'Discount Slabs'!$B$11)-F19)/(E19*(1-'Discount Slabs'!$B$11)))</f>
        <v/>
      </c>
      <c r="I19" s="21">
        <f>SUMIFS(Orders!$L$5:$L$504,Orders!$J$5:$J$504,A19,Orders!$W$5:$W$504,"Won")</f>
        <v>0</v>
      </c>
      <c r="J19" s="27">
        <f>SUMIFS(Orders!$Q$5:$Q$504,Orders!$J$5:$J$504,A19,Orders!$W$5:$W$504,"Won")</f>
        <v>0</v>
      </c>
    </row>
    <row r="20" spans="1:10" hidden="1" x14ac:dyDescent="0.3">
      <c r="A20" s="21">
        <v>16</v>
      </c>
      <c r="B20" s="21" t="s">
        <v>142</v>
      </c>
      <c r="C20" s="21" t="s">
        <v>140</v>
      </c>
      <c r="D20" s="21" t="s">
        <v>141</v>
      </c>
      <c r="E20" s="27">
        <v>260</v>
      </c>
      <c r="F20" s="16"/>
      <c r="G20" s="28" t="str">
        <f>IF(F20="","",(E20-F20)/E20)</f>
        <v/>
      </c>
      <c r="H20" s="28" t="str">
        <f>IF(F20="","",(E20*(1-'Discount Slabs'!$B$11)-F20)/(E20*(1-'Discount Slabs'!$B$11)))</f>
        <v/>
      </c>
      <c r="I20" s="21">
        <f>SUMIFS(Orders!$L$5:$L$504,Orders!$J$5:$J$504,A20,Orders!$W$5:$W$504,"Won")</f>
        <v>0</v>
      </c>
      <c r="J20" s="27">
        <f>SUMIFS(Orders!$Q$5:$Q$504,Orders!$J$5:$J$504,A20,Orders!$W$5:$W$504,"Won")</f>
        <v>0</v>
      </c>
    </row>
    <row r="21" spans="1:10" hidden="1" x14ac:dyDescent="0.3">
      <c r="A21" s="21">
        <v>17</v>
      </c>
      <c r="B21" s="21" t="s">
        <v>143</v>
      </c>
      <c r="C21" s="21" t="s">
        <v>140</v>
      </c>
      <c r="D21" s="21" t="s">
        <v>141</v>
      </c>
      <c r="E21" s="27">
        <v>230</v>
      </c>
      <c r="F21" s="16"/>
      <c r="G21" s="28" t="str">
        <f>IF(F21="","",(E21-F21)/E21)</f>
        <v/>
      </c>
      <c r="H21" s="28" t="str">
        <f>IF(F21="","",(E21*(1-'Discount Slabs'!$B$11)-F21)/(E21*(1-'Discount Slabs'!$B$11)))</f>
        <v/>
      </c>
      <c r="I21" s="21">
        <f>SUMIFS(Orders!$L$5:$L$504,Orders!$J$5:$J$504,A21,Orders!$W$5:$W$504,"Won")</f>
        <v>0</v>
      </c>
      <c r="J21" s="27">
        <f>SUMIFS(Orders!$Q$5:$Q$504,Orders!$J$5:$J$504,A21,Orders!$W$5:$W$504,"Won")</f>
        <v>0</v>
      </c>
    </row>
    <row r="22" spans="1:10" hidden="1" x14ac:dyDescent="0.3">
      <c r="A22" s="21">
        <v>18</v>
      </c>
      <c r="B22" s="21" t="s">
        <v>144</v>
      </c>
      <c r="C22" s="21" t="s">
        <v>140</v>
      </c>
      <c r="D22" s="21" t="s">
        <v>141</v>
      </c>
      <c r="E22" s="27">
        <v>220</v>
      </c>
      <c r="F22" s="16"/>
      <c r="G22" s="28" t="str">
        <f>IF(F22="","",(E22-F22)/E22)</f>
        <v/>
      </c>
      <c r="H22" s="28" t="str">
        <f>IF(F22="","",(E22*(1-'Discount Slabs'!$B$11)-F22)/(E22*(1-'Discount Slabs'!$B$11)))</f>
        <v/>
      </c>
      <c r="I22" s="21">
        <f>SUMIFS(Orders!$L$5:$L$504,Orders!$J$5:$J$504,A22,Orders!$W$5:$W$504,"Won")</f>
        <v>0</v>
      </c>
      <c r="J22" s="27">
        <f>SUMIFS(Orders!$Q$5:$Q$504,Orders!$J$5:$J$504,A22,Orders!$W$5:$W$504,"Won")</f>
        <v>0</v>
      </c>
    </row>
    <row r="23" spans="1:10" hidden="1" x14ac:dyDescent="0.3">
      <c r="A23" s="21">
        <v>19</v>
      </c>
      <c r="B23" s="30" t="s">
        <v>219</v>
      </c>
      <c r="C23" s="21" t="s">
        <v>140</v>
      </c>
      <c r="D23" s="21" t="s">
        <v>141</v>
      </c>
      <c r="E23" s="27">
        <v>150</v>
      </c>
      <c r="F23" s="16"/>
      <c r="G23" s="28" t="str">
        <f>IF(F23="","",(E23-F23)/E23)</f>
        <v/>
      </c>
      <c r="H23" s="28" t="str">
        <f>IF(F23="","",(E23*(1-'Discount Slabs'!$B$11)-F23)/(E23*(1-'Discount Slabs'!$B$11)))</f>
        <v/>
      </c>
      <c r="I23" s="21">
        <f>SUMIFS(Orders!$L$5:$L$504,Orders!$J$5:$J$504,A23,Orders!$W$5:$W$504,"Won")</f>
        <v>0</v>
      </c>
      <c r="J23" s="27">
        <f>SUMIFS(Orders!$Q$5:$Q$504,Orders!$J$5:$J$504,A23,Orders!$W$5:$W$504,"Won")</f>
        <v>0</v>
      </c>
    </row>
    <row r="24" spans="1:10" hidden="1" x14ac:dyDescent="0.3">
      <c r="A24" s="21">
        <v>20</v>
      </c>
      <c r="B24" s="30" t="s">
        <v>220</v>
      </c>
      <c r="C24" s="21" t="s">
        <v>140</v>
      </c>
      <c r="D24" s="21" t="s">
        <v>141</v>
      </c>
      <c r="E24" s="27">
        <v>460</v>
      </c>
      <c r="F24" s="16"/>
      <c r="G24" s="28" t="str">
        <f>IF(F24="","",(E24-F24)/E24)</f>
        <v/>
      </c>
      <c r="H24" s="28" t="str">
        <f>IF(F24="","",(E24*(1-'Discount Slabs'!$B$11)-F24)/(E24*(1-'Discount Slabs'!$B$11)))</f>
        <v/>
      </c>
      <c r="I24" s="21">
        <f>SUMIFS(Orders!$L$5:$L$504,Orders!$J$5:$J$504,A24,Orders!$W$5:$W$504,"Won")</f>
        <v>0</v>
      </c>
      <c r="J24" s="27">
        <f>SUMIFS(Orders!$Q$5:$Q$504,Orders!$J$5:$J$504,A24,Orders!$W$5:$W$504,"Won")</f>
        <v>0</v>
      </c>
    </row>
    <row r="25" spans="1:10" hidden="1" x14ac:dyDescent="0.3">
      <c r="A25" s="21">
        <v>21</v>
      </c>
      <c r="B25" s="32" t="s">
        <v>247</v>
      </c>
      <c r="C25" s="21" t="s">
        <v>140</v>
      </c>
      <c r="D25" s="21" t="s">
        <v>141</v>
      </c>
      <c r="E25" s="27">
        <v>230</v>
      </c>
      <c r="F25" s="16"/>
      <c r="G25" s="28" t="str">
        <f>IF(F25="","",(E25-F25)/E25)</f>
        <v/>
      </c>
      <c r="H25" s="28" t="str">
        <f>IF(F25="","",(E25*(1-'Discount Slabs'!$B$11)-F25)/(E25*(1-'Discount Slabs'!$B$11)))</f>
        <v/>
      </c>
      <c r="I25" s="21">
        <f>SUMIFS(Orders!$L$5:$L$504,Orders!$J$5:$J$504,A25,Orders!$W$5:$W$504,"Won")</f>
        <v>0</v>
      </c>
      <c r="J25" s="27">
        <f>SUMIFS(Orders!$Q$5:$Q$504,Orders!$J$5:$J$504,A25,Orders!$W$5:$W$504,"Won")</f>
        <v>0</v>
      </c>
    </row>
    <row r="26" spans="1:10" hidden="1" x14ac:dyDescent="0.3">
      <c r="A26" s="21">
        <v>22</v>
      </c>
      <c r="B26" s="30" t="s">
        <v>221</v>
      </c>
      <c r="C26" s="21" t="s">
        <v>140</v>
      </c>
      <c r="D26" s="21" t="s">
        <v>141</v>
      </c>
      <c r="E26" s="27">
        <v>170</v>
      </c>
      <c r="F26" s="16"/>
      <c r="G26" s="28" t="str">
        <f>IF(F26="","",(E26-F26)/E26)</f>
        <v/>
      </c>
      <c r="H26" s="28" t="str">
        <f>IF(F26="","",(E26*(1-'Discount Slabs'!$B$11)-F26)/(E26*(1-'Discount Slabs'!$B$11)))</f>
        <v/>
      </c>
      <c r="I26" s="21">
        <f>SUMIFS(Orders!$L$5:$L$504,Orders!$J$5:$J$504,A26,Orders!$W$5:$W$504,"Won")</f>
        <v>0</v>
      </c>
      <c r="J26" s="27">
        <f>SUMIFS(Orders!$Q$5:$Q$504,Orders!$J$5:$J$504,A26,Orders!$W$5:$W$504,"Won")</f>
        <v>0</v>
      </c>
    </row>
    <row r="27" spans="1:10" hidden="1" x14ac:dyDescent="0.3">
      <c r="A27" s="21">
        <v>24</v>
      </c>
      <c r="B27" s="30" t="s">
        <v>222</v>
      </c>
      <c r="C27" s="21" t="s">
        <v>140</v>
      </c>
      <c r="D27" s="21" t="s">
        <v>141</v>
      </c>
      <c r="E27" s="27">
        <v>800</v>
      </c>
      <c r="F27" s="16"/>
      <c r="G27" s="28" t="str">
        <f>IF(F27="","",(E27-F27)/E27)</f>
        <v/>
      </c>
      <c r="H27" s="28" t="str">
        <f>IF(F27="","",(E27*(1-'Discount Slabs'!$B$11)-F27)/(E27*(1-'Discount Slabs'!$B$11)))</f>
        <v/>
      </c>
      <c r="I27" s="21">
        <f>SUMIFS(Orders!$L$5:$L$504,Orders!$J$5:$J$504,A27,Orders!$W$5:$W$504,"Won")</f>
        <v>0</v>
      </c>
      <c r="J27" s="27">
        <f>SUMIFS(Orders!$Q$5:$Q$504,Orders!$J$5:$J$504,A27,Orders!$W$5:$W$504,"Won")</f>
        <v>0</v>
      </c>
    </row>
    <row r="28" spans="1:10" hidden="1" x14ac:dyDescent="0.3">
      <c r="A28" s="21">
        <v>25</v>
      </c>
      <c r="B28" s="30" t="s">
        <v>223</v>
      </c>
      <c r="C28" s="21" t="s">
        <v>140</v>
      </c>
      <c r="D28" s="21" t="s">
        <v>141</v>
      </c>
      <c r="E28" s="27">
        <v>400</v>
      </c>
      <c r="F28" s="16"/>
      <c r="G28" s="28" t="str">
        <f>IF(F28="","",(E28-F28)/E28)</f>
        <v/>
      </c>
      <c r="H28" s="28" t="str">
        <f>IF(F28="","",(E28*(1-'Discount Slabs'!$B$11)-F28)/(E28*(1-'Discount Slabs'!$B$11)))</f>
        <v/>
      </c>
      <c r="I28" s="21">
        <f>SUMIFS(Orders!$L$5:$L$504,Orders!$J$5:$J$504,A28,Orders!$W$5:$W$504,"Won")</f>
        <v>0</v>
      </c>
      <c r="J28" s="27">
        <f>SUMIFS(Orders!$Q$5:$Q$504,Orders!$J$5:$J$504,A28,Orders!$W$5:$W$504,"Won")</f>
        <v>0</v>
      </c>
    </row>
    <row r="29" spans="1:10" hidden="1" x14ac:dyDescent="0.3">
      <c r="A29" s="21">
        <v>26</v>
      </c>
      <c r="B29" s="30" t="s">
        <v>224</v>
      </c>
      <c r="C29" s="21" t="s">
        <v>140</v>
      </c>
      <c r="D29" s="21" t="s">
        <v>141</v>
      </c>
      <c r="E29" s="27">
        <v>175</v>
      </c>
      <c r="F29" s="16"/>
      <c r="G29" s="28" t="str">
        <f>IF(F29="","",(E29-F29)/E29)</f>
        <v/>
      </c>
      <c r="H29" s="28" t="str">
        <f>IF(F29="","",(E29*(1-'Discount Slabs'!$B$11)-F29)/(E29*(1-'Discount Slabs'!$B$11)))</f>
        <v/>
      </c>
      <c r="I29" s="21">
        <f>SUMIFS(Orders!$L$5:$L$504,Orders!$J$5:$J$504,A29,Orders!$W$5:$W$504,"Won")</f>
        <v>0</v>
      </c>
      <c r="J29" s="27">
        <f>SUMIFS(Orders!$Q$5:$Q$504,Orders!$J$5:$J$504,A29,Orders!$W$5:$W$504,"Won")</f>
        <v>0</v>
      </c>
    </row>
    <row r="30" spans="1:10" hidden="1" x14ac:dyDescent="0.3">
      <c r="A30" s="21">
        <v>27</v>
      </c>
      <c r="B30" s="21" t="s">
        <v>145</v>
      </c>
      <c r="C30" s="21" t="s">
        <v>140</v>
      </c>
      <c r="D30" s="21" t="s">
        <v>141</v>
      </c>
      <c r="E30" s="27">
        <v>250</v>
      </c>
      <c r="F30" s="16"/>
      <c r="G30" s="28" t="str">
        <f>IF(F30="","",(E30-F30)/E30)</f>
        <v/>
      </c>
      <c r="H30" s="28" t="str">
        <f>IF(F30="","",(E30*(1-'Discount Slabs'!$B$11)-F30)/(E30*(1-'Discount Slabs'!$B$11)))</f>
        <v/>
      </c>
      <c r="I30" s="21">
        <f>SUMIFS(Orders!$L$5:$L$504,Orders!$J$5:$J$504,A30,Orders!$W$5:$W$504,"Won")</f>
        <v>0</v>
      </c>
      <c r="J30" s="27">
        <f>SUMIFS(Orders!$Q$5:$Q$504,Orders!$J$5:$J$504,A30,Orders!$W$5:$W$504,"Won")</f>
        <v>0</v>
      </c>
    </row>
    <row r="31" spans="1:10" hidden="1" x14ac:dyDescent="0.3">
      <c r="A31" s="21">
        <v>28</v>
      </c>
      <c r="B31" s="30" t="s">
        <v>211</v>
      </c>
      <c r="C31" s="21" t="s">
        <v>146</v>
      </c>
      <c r="D31" s="21" t="s">
        <v>147</v>
      </c>
      <c r="E31" s="27">
        <v>420</v>
      </c>
      <c r="F31" s="16"/>
      <c r="G31" s="28" t="str">
        <f>IF(F31="","",(E31-F31)/E31)</f>
        <v/>
      </c>
      <c r="H31" s="28" t="str">
        <f>IF(F31="","",(E31*(1-'Discount Slabs'!$B$11)-F31)/(E31*(1-'Discount Slabs'!$B$11)))</f>
        <v/>
      </c>
      <c r="I31" s="21">
        <f>SUMIFS(Orders!$L$5:$L$504,Orders!$J$5:$J$504,A31,Orders!$W$5:$W$504,"Won")</f>
        <v>0</v>
      </c>
      <c r="J31" s="27">
        <f>SUMIFS(Orders!$Q$5:$Q$504,Orders!$J$5:$J$504,A31,Orders!$W$5:$W$504,"Won")</f>
        <v>0</v>
      </c>
    </row>
    <row r="32" spans="1:10" hidden="1" x14ac:dyDescent="0.3">
      <c r="A32" s="21">
        <v>29</v>
      </c>
      <c r="B32" s="30" t="s">
        <v>212</v>
      </c>
      <c r="C32" s="21" t="s">
        <v>146</v>
      </c>
      <c r="D32" s="21" t="s">
        <v>147</v>
      </c>
      <c r="E32" s="27">
        <v>420</v>
      </c>
      <c r="F32" s="16"/>
      <c r="G32" s="28" t="str">
        <f>IF(F32="","",(E32-F32)/E32)</f>
        <v/>
      </c>
      <c r="H32" s="28" t="str">
        <f>IF(F32="","",(E32*(1-'Discount Slabs'!$B$11)-F32)/(E32*(1-'Discount Slabs'!$B$11)))</f>
        <v/>
      </c>
      <c r="I32" s="21">
        <f>SUMIFS(Orders!$L$5:$L$504,Orders!$J$5:$J$504,A32,Orders!$W$5:$W$504,"Won")</f>
        <v>0</v>
      </c>
      <c r="J32" s="27">
        <f>SUMIFS(Orders!$Q$5:$Q$504,Orders!$J$5:$J$504,A32,Orders!$W$5:$W$504,"Won")</f>
        <v>0</v>
      </c>
    </row>
    <row r="33" spans="1:10" hidden="1" x14ac:dyDescent="0.3">
      <c r="A33" s="21">
        <v>30</v>
      </c>
      <c r="B33" s="30" t="s">
        <v>213</v>
      </c>
      <c r="C33" s="21" t="s">
        <v>146</v>
      </c>
      <c r="D33" s="21" t="s">
        <v>147</v>
      </c>
      <c r="E33" s="27">
        <v>420</v>
      </c>
      <c r="F33" s="16"/>
      <c r="G33" s="28" t="str">
        <f>IF(F33="","",(E33-F33)/E33)</f>
        <v/>
      </c>
      <c r="H33" s="28" t="str">
        <f>IF(F33="","",(E33*(1-'Discount Slabs'!$B$11)-F33)/(E33*(1-'Discount Slabs'!$B$11)))</f>
        <v/>
      </c>
      <c r="I33" s="21">
        <f>SUMIFS(Orders!$L$5:$L$504,Orders!$J$5:$J$504,A33,Orders!$W$5:$W$504,"Won")</f>
        <v>0</v>
      </c>
      <c r="J33" s="27">
        <f>SUMIFS(Orders!$Q$5:$Q$504,Orders!$J$5:$J$504,A33,Orders!$W$5:$W$504,"Won")</f>
        <v>0</v>
      </c>
    </row>
    <row r="34" spans="1:10" hidden="1" x14ac:dyDescent="0.3">
      <c r="A34" s="21">
        <v>31</v>
      </c>
      <c r="B34" s="30" t="s">
        <v>214</v>
      </c>
      <c r="C34" s="21" t="s">
        <v>146</v>
      </c>
      <c r="D34" s="21" t="s">
        <v>147</v>
      </c>
      <c r="E34" s="27">
        <v>420</v>
      </c>
      <c r="F34" s="16"/>
      <c r="G34" s="28" t="str">
        <f>IF(F34="","",(E34-F34)/E34)</f>
        <v/>
      </c>
      <c r="H34" s="28" t="str">
        <f>IF(F34="","",(E34*(1-'Discount Slabs'!$B$11)-F34)/(E34*(1-'Discount Slabs'!$B$11)))</f>
        <v/>
      </c>
      <c r="I34" s="21">
        <f>SUMIFS(Orders!$L$5:$L$504,Orders!$J$5:$J$504,A34,Orders!$W$5:$W$504,"Won")</f>
        <v>0</v>
      </c>
      <c r="J34" s="27">
        <f>SUMIFS(Orders!$Q$5:$Q$504,Orders!$J$5:$J$504,A34,Orders!$W$5:$W$504,"Won")</f>
        <v>0</v>
      </c>
    </row>
    <row r="35" spans="1:10" hidden="1" x14ac:dyDescent="0.3">
      <c r="A35" s="21">
        <v>32</v>
      </c>
      <c r="B35" s="30" t="s">
        <v>215</v>
      </c>
      <c r="C35" s="21" t="s">
        <v>146</v>
      </c>
      <c r="D35" s="21" t="s">
        <v>147</v>
      </c>
      <c r="E35" s="27">
        <v>420</v>
      </c>
      <c r="F35" s="16"/>
      <c r="G35" s="28" t="str">
        <f>IF(F35="","",(E35-F35)/E35)</f>
        <v/>
      </c>
      <c r="H35" s="28" t="str">
        <f>IF(F35="","",(E35*(1-'Discount Slabs'!$B$11)-F35)/(E35*(1-'Discount Slabs'!$B$11)))</f>
        <v/>
      </c>
      <c r="I35" s="21">
        <f>SUMIFS(Orders!$L$5:$L$504,Orders!$J$5:$J$504,A35,Orders!$W$5:$W$504,"Won")</f>
        <v>0</v>
      </c>
      <c r="J35" s="27">
        <f>SUMIFS(Orders!$Q$5:$Q$504,Orders!$J$5:$J$504,A35,Orders!$W$5:$W$504,"Won")</f>
        <v>0</v>
      </c>
    </row>
    <row r="36" spans="1:10" hidden="1" x14ac:dyDescent="0.3">
      <c r="A36" s="21">
        <v>33</v>
      </c>
      <c r="B36" s="30" t="s">
        <v>216</v>
      </c>
      <c r="C36" s="21" t="s">
        <v>146</v>
      </c>
      <c r="D36" s="21" t="s">
        <v>147</v>
      </c>
      <c r="E36" s="27">
        <v>420</v>
      </c>
      <c r="F36" s="16"/>
      <c r="G36" s="28" t="str">
        <f>IF(F36="","",(E36-F36)/E36)</f>
        <v/>
      </c>
      <c r="H36" s="28" t="str">
        <f>IF(F36="","",(E36*(1-'Discount Slabs'!$B$11)-F36)/(E36*(1-'Discount Slabs'!$B$11)))</f>
        <v/>
      </c>
      <c r="I36" s="21">
        <f>SUMIFS(Orders!$L$5:$L$504,Orders!$J$5:$J$504,A36,Orders!$W$5:$W$504,"Won")</f>
        <v>0</v>
      </c>
      <c r="J36" s="27">
        <f>SUMIFS(Orders!$Q$5:$Q$504,Orders!$J$5:$J$504,A36,Orders!$W$5:$W$504,"Won")</f>
        <v>0</v>
      </c>
    </row>
    <row r="37" spans="1:10" hidden="1" x14ac:dyDescent="0.3">
      <c r="A37" s="21">
        <v>34</v>
      </c>
      <c r="B37" s="30" t="s">
        <v>217</v>
      </c>
      <c r="C37" s="21" t="s">
        <v>146</v>
      </c>
      <c r="D37" s="21" t="s">
        <v>147</v>
      </c>
      <c r="E37" s="27">
        <v>420</v>
      </c>
      <c r="F37" s="16"/>
      <c r="G37" s="28" t="str">
        <f>IF(F37="","",(E37-F37)/E37)</f>
        <v/>
      </c>
      <c r="H37" s="28" t="str">
        <f>IF(F37="","",(E37*(1-'Discount Slabs'!$B$11)-F37)/(E37*(1-'Discount Slabs'!$B$11)))</f>
        <v/>
      </c>
      <c r="I37" s="21">
        <f>SUMIFS(Orders!$L$5:$L$504,Orders!$J$5:$J$504,A37,Orders!$W$5:$W$504,"Won")</f>
        <v>0</v>
      </c>
      <c r="J37" s="27">
        <f>SUMIFS(Orders!$Q$5:$Q$504,Orders!$J$5:$J$504,A37,Orders!$W$5:$W$504,"Won")</f>
        <v>0</v>
      </c>
    </row>
    <row r="38" spans="1:10" hidden="1" x14ac:dyDescent="0.3">
      <c r="A38" s="21">
        <v>35</v>
      </c>
      <c r="B38" s="30" t="s">
        <v>218</v>
      </c>
      <c r="C38" s="21" t="s">
        <v>146</v>
      </c>
      <c r="D38" s="21" t="s">
        <v>147</v>
      </c>
      <c r="E38" s="27">
        <v>420</v>
      </c>
      <c r="F38" s="16"/>
      <c r="G38" s="28" t="str">
        <f>IF(F38="","",(E38-F38)/E38)</f>
        <v/>
      </c>
      <c r="H38" s="28" t="str">
        <f>IF(F38="","",(E38*(1-'Discount Slabs'!$B$11)-F38)/(E38*(1-'Discount Slabs'!$B$11)))</f>
        <v/>
      </c>
      <c r="I38" s="21">
        <f>SUMIFS(Orders!$L$5:$L$504,Orders!$J$5:$J$504,A38,Orders!$W$5:$W$504,"Won")</f>
        <v>0</v>
      </c>
      <c r="J38" s="27">
        <f>SUMIFS(Orders!$Q$5:$Q$504,Orders!$J$5:$J$504,A38,Orders!$W$5:$W$504,"Won")</f>
        <v>0</v>
      </c>
    </row>
    <row r="39" spans="1:10" hidden="1" x14ac:dyDescent="0.3">
      <c r="A39" s="21">
        <v>36</v>
      </c>
      <c r="B39" s="21" t="s">
        <v>148</v>
      </c>
      <c r="C39" s="21" t="s">
        <v>149</v>
      </c>
      <c r="D39" s="21" t="s">
        <v>150</v>
      </c>
      <c r="E39" s="27">
        <v>190</v>
      </c>
      <c r="F39" s="16"/>
      <c r="G39" s="28" t="str">
        <f>IF(F39="","",(E39-F39)/E39)</f>
        <v/>
      </c>
      <c r="H39" s="28" t="str">
        <f>IF(F39="","",(E39*(1-'Discount Slabs'!$B$11)-F39)/(E39*(1-'Discount Slabs'!$B$11)))</f>
        <v/>
      </c>
      <c r="I39" s="21">
        <f>SUMIFS(Orders!$L$5:$L$504,Orders!$J$5:$J$504,A39,Orders!$W$5:$W$504,"Won")</f>
        <v>0</v>
      </c>
      <c r="J39" s="27">
        <f>SUMIFS(Orders!$Q$5:$Q$504,Orders!$J$5:$J$504,A39,Orders!$W$5:$W$504,"Won")</f>
        <v>0</v>
      </c>
    </row>
    <row r="40" spans="1:10" hidden="1" x14ac:dyDescent="0.3">
      <c r="A40" s="21">
        <v>37</v>
      </c>
      <c r="B40" s="21" t="s">
        <v>151</v>
      </c>
      <c r="C40" s="21" t="s">
        <v>152</v>
      </c>
      <c r="D40" s="21" t="s">
        <v>153</v>
      </c>
      <c r="E40" s="27">
        <v>190</v>
      </c>
      <c r="F40" s="16"/>
      <c r="G40" s="28" t="str">
        <f>IF(F40="","",(E40-F40)/E40)</f>
        <v/>
      </c>
      <c r="H40" s="28" t="str">
        <f>IF(F40="","",(E40*(1-'Discount Slabs'!$B$11)-F40)/(E40*(1-'Discount Slabs'!$B$11)))</f>
        <v/>
      </c>
      <c r="I40" s="21">
        <f>SUMIFS(Orders!$L$5:$L$504,Orders!$J$5:$J$504,A40,Orders!$W$5:$W$504,"Won")</f>
        <v>200</v>
      </c>
      <c r="J40" s="27">
        <f>SUMIFS(Orders!$Q$5:$Q$504,Orders!$J$5:$J$504,A40,Orders!$W$5:$W$504,"Won")</f>
        <v>32600</v>
      </c>
    </row>
    <row r="41" spans="1:10" hidden="1" x14ac:dyDescent="0.3">
      <c r="A41" s="21">
        <v>38</v>
      </c>
      <c r="B41" s="31" t="s">
        <v>250</v>
      </c>
      <c r="C41" s="21" t="s">
        <v>154</v>
      </c>
      <c r="D41" s="21" t="s">
        <v>155</v>
      </c>
      <c r="E41" s="27">
        <v>820</v>
      </c>
      <c r="F41" s="16"/>
      <c r="G41" s="28" t="str">
        <f>IF(F41="","",(E41-F41)/E41)</f>
        <v/>
      </c>
      <c r="H41" s="28" t="str">
        <f>IF(F41="","",(E41*(1-'Discount Slabs'!$B$11)-F41)/(E41*(1-'Discount Slabs'!$B$11)))</f>
        <v/>
      </c>
      <c r="I41" s="21">
        <f>SUMIFS(Orders!$L$5:$L$504,Orders!$J$5:$J$504,A41,Orders!$W$5:$W$504,"Won")</f>
        <v>0</v>
      </c>
      <c r="J41" s="27">
        <f>SUMIFS(Orders!$Q$5:$Q$504,Orders!$J$5:$J$504,A41,Orders!$W$5:$W$504,"Won")</f>
        <v>0</v>
      </c>
    </row>
    <row r="42" spans="1:10" hidden="1" x14ac:dyDescent="0.3">
      <c r="A42" s="21">
        <v>39</v>
      </c>
      <c r="B42" s="31" t="s">
        <v>251</v>
      </c>
      <c r="C42" s="21" t="s">
        <v>154</v>
      </c>
      <c r="D42" s="21" t="s">
        <v>155</v>
      </c>
      <c r="E42" s="27">
        <v>850</v>
      </c>
      <c r="F42" s="16"/>
      <c r="G42" s="28" t="str">
        <f>IF(F42="","",(E42-F42)/E42)</f>
        <v/>
      </c>
      <c r="H42" s="28" t="str">
        <f>IF(F42="","",(E42*(1-'Discount Slabs'!$B$11)-F42)/(E42*(1-'Discount Slabs'!$B$11)))</f>
        <v/>
      </c>
      <c r="I42" s="21">
        <f>SUMIFS(Orders!$L$5:$L$504,Orders!$J$5:$J$504,A42,Orders!$W$5:$W$504,"Won")</f>
        <v>0</v>
      </c>
      <c r="J42" s="27">
        <f>SUMIFS(Orders!$Q$5:$Q$504,Orders!$J$5:$J$504,A42,Orders!$W$5:$W$504,"Won")</f>
        <v>0</v>
      </c>
    </row>
    <row r="43" spans="1:10" hidden="1" x14ac:dyDescent="0.3">
      <c r="A43" s="21">
        <v>40</v>
      </c>
      <c r="B43" s="31" t="s">
        <v>252</v>
      </c>
      <c r="C43" s="21" t="s">
        <v>154</v>
      </c>
      <c r="D43" s="21" t="s">
        <v>155</v>
      </c>
      <c r="E43" s="27">
        <v>850</v>
      </c>
      <c r="F43" s="16"/>
      <c r="G43" s="28" t="str">
        <f>IF(F43="","",(E43-F43)/E43)</f>
        <v/>
      </c>
      <c r="H43" s="28" t="str">
        <f>IF(F43="","",(E43*(1-'Discount Slabs'!$B$11)-F43)/(E43*(1-'Discount Slabs'!$B$11)))</f>
        <v/>
      </c>
      <c r="I43" s="21">
        <f>SUMIFS(Orders!$L$5:$L$504,Orders!$J$5:$J$504,A43,Orders!$W$5:$W$504,"Won")</f>
        <v>0</v>
      </c>
      <c r="J43" s="27">
        <f>SUMIFS(Orders!$Q$5:$Q$504,Orders!$J$5:$J$504,A43,Orders!$W$5:$W$504,"Won")</f>
        <v>0</v>
      </c>
    </row>
    <row r="44" spans="1:10" hidden="1" x14ac:dyDescent="0.3">
      <c r="A44" s="21">
        <v>41</v>
      </c>
      <c r="B44" s="31" t="s">
        <v>253</v>
      </c>
      <c r="C44" s="21" t="s">
        <v>154</v>
      </c>
      <c r="D44" s="21" t="s">
        <v>155</v>
      </c>
      <c r="E44" s="27">
        <v>850</v>
      </c>
      <c r="F44" s="16"/>
      <c r="G44" s="28" t="str">
        <f>IF(F44="","",(E44-F44)/E44)</f>
        <v/>
      </c>
      <c r="H44" s="28" t="str">
        <f>IF(F44="","",(E44*(1-'Discount Slabs'!$B$11)-F44)/(E44*(1-'Discount Slabs'!$B$11)))</f>
        <v/>
      </c>
      <c r="I44" s="21">
        <f>SUMIFS(Orders!$L$5:$L$504,Orders!$J$5:$J$504,A44,Orders!$W$5:$W$504,"Won")</f>
        <v>0</v>
      </c>
      <c r="J44" s="27">
        <f>SUMIFS(Orders!$Q$5:$Q$504,Orders!$J$5:$J$504,A44,Orders!$W$5:$W$504,"Won")</f>
        <v>0</v>
      </c>
    </row>
    <row r="45" spans="1:10" hidden="1" x14ac:dyDescent="0.3">
      <c r="A45" s="21">
        <v>42</v>
      </c>
      <c r="B45" s="31" t="s">
        <v>254</v>
      </c>
      <c r="C45" s="21" t="s">
        <v>154</v>
      </c>
      <c r="D45" s="21" t="s">
        <v>155</v>
      </c>
      <c r="E45" s="27">
        <v>850</v>
      </c>
      <c r="F45" s="16"/>
      <c r="G45" s="28" t="str">
        <f>IF(F45="","",(E45-F45)/E45)</f>
        <v/>
      </c>
      <c r="H45" s="28" t="str">
        <f>IF(F45="","",(E45*(1-'Discount Slabs'!$B$11)-F45)/(E45*(1-'Discount Slabs'!$B$11)))</f>
        <v/>
      </c>
      <c r="I45" s="21">
        <f>SUMIFS(Orders!$L$5:$L$504,Orders!$J$5:$J$504,A45,Orders!$W$5:$W$504,"Won")</f>
        <v>0</v>
      </c>
      <c r="J45" s="27">
        <f>SUMIFS(Orders!$Q$5:$Q$504,Orders!$J$5:$J$504,A45,Orders!$W$5:$W$504,"Won")</f>
        <v>0</v>
      </c>
    </row>
    <row r="46" spans="1:10" hidden="1" x14ac:dyDescent="0.3">
      <c r="A46" s="21">
        <v>43</v>
      </c>
      <c r="B46" s="31" t="s">
        <v>255</v>
      </c>
      <c r="C46" s="21" t="s">
        <v>154</v>
      </c>
      <c r="D46" s="21" t="s">
        <v>155</v>
      </c>
      <c r="E46" s="27">
        <v>850</v>
      </c>
      <c r="F46" s="16"/>
      <c r="G46" s="28" t="str">
        <f>IF(F46="","",(E46-F46)/E46)</f>
        <v/>
      </c>
      <c r="H46" s="28" t="str">
        <f>IF(F46="","",(E46*(1-'Discount Slabs'!$B$11)-F46)/(E46*(1-'Discount Slabs'!$B$11)))</f>
        <v/>
      </c>
      <c r="I46" s="21">
        <f>SUMIFS(Orders!$L$5:$L$504,Orders!$J$5:$J$504,A46,Orders!$W$5:$W$504,"Won")</f>
        <v>0</v>
      </c>
      <c r="J46" s="27">
        <f>SUMIFS(Orders!$Q$5:$Q$504,Orders!$J$5:$J$504,A46,Orders!$W$5:$W$504,"Won")</f>
        <v>0</v>
      </c>
    </row>
    <row r="47" spans="1:10" hidden="1" x14ac:dyDescent="0.3">
      <c r="A47" s="21">
        <v>44</v>
      </c>
      <c r="B47" s="31" t="s">
        <v>256</v>
      </c>
      <c r="C47" s="21" t="s">
        <v>154</v>
      </c>
      <c r="D47" s="21" t="s">
        <v>155</v>
      </c>
      <c r="E47" s="27">
        <v>850</v>
      </c>
      <c r="F47" s="16"/>
      <c r="G47" s="28" t="str">
        <f>IF(F47="","",(E47-F47)/E47)</f>
        <v/>
      </c>
      <c r="H47" s="28" t="str">
        <f>IF(F47="","",(E47*(1-'Discount Slabs'!$B$11)-F47)/(E47*(1-'Discount Slabs'!$B$11)))</f>
        <v/>
      </c>
      <c r="I47" s="21">
        <f>SUMIFS(Orders!$L$5:$L$504,Orders!$J$5:$J$504,A47,Orders!$W$5:$W$504,"Won")</f>
        <v>0</v>
      </c>
      <c r="J47" s="27">
        <f>SUMIFS(Orders!$Q$5:$Q$504,Orders!$J$5:$J$504,A47,Orders!$W$5:$W$504,"Won")</f>
        <v>0</v>
      </c>
    </row>
    <row r="48" spans="1:10" hidden="1" x14ac:dyDescent="0.3">
      <c r="A48" s="21">
        <v>46</v>
      </c>
      <c r="B48" s="21" t="s">
        <v>156</v>
      </c>
      <c r="C48" s="21" t="s">
        <v>157</v>
      </c>
      <c r="D48" s="21" t="s">
        <v>158</v>
      </c>
      <c r="E48" s="27">
        <v>450</v>
      </c>
      <c r="F48" s="16"/>
      <c r="G48" s="28" t="str">
        <f>IF(F48="","",(E48-F48)/E48)</f>
        <v/>
      </c>
      <c r="H48" s="28" t="str">
        <f>IF(F48="","",(E48*(1-'Discount Slabs'!$B$11)-F48)/(E48*(1-'Discount Slabs'!$B$11)))</f>
        <v/>
      </c>
      <c r="I48" s="21">
        <f>SUMIFS(Orders!$L$5:$L$504,Orders!$J$5:$J$504,A48,Orders!$W$5:$W$504,"Won")</f>
        <v>0</v>
      </c>
      <c r="J48" s="27">
        <f>SUMIFS(Orders!$Q$5:$Q$504,Orders!$J$5:$J$504,A48,Orders!$W$5:$W$504,"Won")</f>
        <v>0</v>
      </c>
    </row>
    <row r="49" spans="1:10" hidden="1" x14ac:dyDescent="0.3">
      <c r="A49" s="21">
        <v>47</v>
      </c>
      <c r="B49" s="30" t="s">
        <v>234</v>
      </c>
      <c r="C49" s="21" t="s">
        <v>149</v>
      </c>
      <c r="D49" s="21" t="s">
        <v>159</v>
      </c>
      <c r="E49" s="27">
        <v>380</v>
      </c>
      <c r="F49" s="16"/>
      <c r="G49" s="28" t="str">
        <f>IF(F49="","",(E49-F49)/E49)</f>
        <v/>
      </c>
      <c r="H49" s="28" t="str">
        <f>IF(F49="","",(E49*(1-'Discount Slabs'!$B$11)-F49)/(E49*(1-'Discount Slabs'!$B$11)))</f>
        <v/>
      </c>
      <c r="I49" s="21">
        <f>SUMIFS(Orders!$L$5:$L$504,Orders!$J$5:$J$504,A49,Orders!$W$5:$W$504,"Won")</f>
        <v>0</v>
      </c>
      <c r="J49" s="27">
        <f>SUMIFS(Orders!$Q$5:$Q$504,Orders!$J$5:$J$504,A49,Orders!$W$5:$W$504,"Won")</f>
        <v>0</v>
      </c>
    </row>
    <row r="50" spans="1:10" hidden="1" x14ac:dyDescent="0.3">
      <c r="A50" s="21">
        <v>48</v>
      </c>
      <c r="B50" s="32" t="s">
        <v>243</v>
      </c>
      <c r="C50" s="21" t="s">
        <v>160</v>
      </c>
      <c r="D50" s="21" t="s">
        <v>161</v>
      </c>
      <c r="E50" s="27">
        <v>120</v>
      </c>
      <c r="F50" s="16"/>
      <c r="G50" s="28" t="str">
        <f>IF(F50="","",(E50-F50)/E50)</f>
        <v/>
      </c>
      <c r="H50" s="28" t="str">
        <f>IF(F50="","",(E50*(1-'Discount Slabs'!$B$11)-F50)/(E50*(1-'Discount Slabs'!$B$11)))</f>
        <v/>
      </c>
      <c r="I50" s="21">
        <f>SUMIFS(Orders!$L$5:$L$504,Orders!$J$5:$J$504,A50,Orders!$W$5:$W$504,"Won")</f>
        <v>0</v>
      </c>
      <c r="J50" s="27">
        <f>SUMIFS(Orders!$Q$5:$Q$504,Orders!$J$5:$J$504,A50,Orders!$W$5:$W$504,"Won")</f>
        <v>0</v>
      </c>
    </row>
    <row r="51" spans="1:10" hidden="1" x14ac:dyDescent="0.3">
      <c r="A51" s="21">
        <v>49</v>
      </c>
      <c r="B51" s="21" t="s">
        <v>162</v>
      </c>
      <c r="C51" s="21" t="s">
        <v>152</v>
      </c>
      <c r="D51" s="21" t="s">
        <v>163</v>
      </c>
      <c r="E51" s="27">
        <v>195</v>
      </c>
      <c r="F51" s="16"/>
      <c r="G51" s="28" t="str">
        <f>IF(F51="","",(E51-F51)/E51)</f>
        <v/>
      </c>
      <c r="H51" s="28" t="str">
        <f>IF(F51="","",(E51*(1-'Discount Slabs'!$B$11)-F51)/(E51*(1-'Discount Slabs'!$B$11)))</f>
        <v/>
      </c>
      <c r="I51" s="21">
        <f>SUMIFS(Orders!$L$5:$L$504,Orders!$J$5:$J$504,A51,Orders!$W$5:$W$504,"Won")</f>
        <v>0</v>
      </c>
      <c r="J51" s="27">
        <f>SUMIFS(Orders!$Q$5:$Q$504,Orders!$J$5:$J$504,A51,Orders!$W$5:$W$504,"Won")</f>
        <v>0</v>
      </c>
    </row>
    <row r="52" spans="1:10" x14ac:dyDescent="0.3">
      <c r="A52" s="21">
        <v>50</v>
      </c>
      <c r="B52" s="32" t="s">
        <v>240</v>
      </c>
      <c r="C52" s="31" t="s">
        <v>283</v>
      </c>
      <c r="D52" s="21" t="s">
        <v>135</v>
      </c>
      <c r="E52" s="27">
        <v>250</v>
      </c>
      <c r="F52" s="16"/>
      <c r="G52" s="28" t="str">
        <f>IF(F52="","",(E52-F52)/E52)</f>
        <v/>
      </c>
      <c r="H52" s="28" t="str">
        <f>IF(F52="","",(E52*(1-'Discount Slabs'!$B$11)-F52)/(E52*(1-'Discount Slabs'!$B$11)))</f>
        <v/>
      </c>
      <c r="I52" s="21">
        <f>SUMIFS(Orders!$L$5:$L$504,Orders!$J$5:$J$504,A52,Orders!$W$5:$W$504,"Won")</f>
        <v>0</v>
      </c>
      <c r="J52" s="27">
        <f>SUMIFS(Orders!$Q$5:$Q$504,Orders!$J$5:$J$504,A52,Orders!$W$5:$W$504,"Won")</f>
        <v>0</v>
      </c>
    </row>
    <row r="53" spans="1:10" x14ac:dyDescent="0.3">
      <c r="A53" s="21">
        <v>51</v>
      </c>
      <c r="B53" s="32" t="s">
        <v>241</v>
      </c>
      <c r="C53" s="31" t="s">
        <v>283</v>
      </c>
      <c r="D53" s="21" t="s">
        <v>164</v>
      </c>
      <c r="E53" s="27">
        <v>340</v>
      </c>
      <c r="F53" s="16"/>
      <c r="G53" s="28" t="str">
        <f>IF(F53="","",(E53-F53)/E53)</f>
        <v/>
      </c>
      <c r="H53" s="28" t="str">
        <f>IF(F53="","",(E53*(1-'Discount Slabs'!$B$11)-F53)/(E53*(1-'Discount Slabs'!$B$11)))</f>
        <v/>
      </c>
      <c r="I53" s="21">
        <f>SUMIFS(Orders!$L$5:$L$504,Orders!$J$5:$J$504,A53,Orders!$W$5:$W$504,"Won")</f>
        <v>0</v>
      </c>
      <c r="J53" s="27">
        <f>SUMIFS(Orders!$Q$5:$Q$504,Orders!$J$5:$J$504,A53,Orders!$W$5:$W$504,"Won")</f>
        <v>0</v>
      </c>
    </row>
    <row r="54" spans="1:10" x14ac:dyDescent="0.3">
      <c r="A54" s="21">
        <v>52</v>
      </c>
      <c r="B54" s="32" t="s">
        <v>242</v>
      </c>
      <c r="C54" s="31" t="s">
        <v>283</v>
      </c>
      <c r="D54" s="21" t="s">
        <v>165</v>
      </c>
      <c r="E54" s="27">
        <v>210</v>
      </c>
      <c r="F54" s="16"/>
      <c r="G54" s="28" t="str">
        <f>IF(F54="","",(E54-F54)/E54)</f>
        <v/>
      </c>
      <c r="H54" s="28" t="str">
        <f>IF(F54="","",(E54*(1-'Discount Slabs'!$B$11)-F54)/(E54*(1-'Discount Slabs'!$B$11)))</f>
        <v/>
      </c>
      <c r="I54" s="21">
        <f>SUMIFS(Orders!$L$5:$L$504,Orders!$J$5:$J$504,A54,Orders!$W$5:$W$504,"Won")</f>
        <v>0</v>
      </c>
      <c r="J54" s="27">
        <f>SUMIFS(Orders!$Q$5:$Q$504,Orders!$J$5:$J$504,A54,Orders!$W$5:$W$504,"Won")</f>
        <v>0</v>
      </c>
    </row>
    <row r="55" spans="1:10" hidden="1" x14ac:dyDescent="0.3">
      <c r="A55" s="21">
        <v>53</v>
      </c>
      <c r="B55" s="21" t="s">
        <v>166</v>
      </c>
      <c r="C55" s="21" t="s">
        <v>167</v>
      </c>
      <c r="D55" s="21" t="s">
        <v>168</v>
      </c>
      <c r="E55" s="27">
        <v>460</v>
      </c>
      <c r="F55" s="16"/>
      <c r="G55" s="28" t="str">
        <f>IF(F55="","",(E55-F55)/E55)</f>
        <v/>
      </c>
      <c r="H55" s="28" t="str">
        <f>IF(F55="","",(E55*(1-'Discount Slabs'!$B$11)-F55)/(E55*(1-'Discount Slabs'!$B$11)))</f>
        <v/>
      </c>
      <c r="I55" s="21">
        <f>SUMIFS(Orders!$L$5:$L$504,Orders!$J$5:$J$504,A55,Orders!$W$5:$W$504,"Won")</f>
        <v>0</v>
      </c>
      <c r="J55" s="27">
        <f>SUMIFS(Orders!$Q$5:$Q$504,Orders!$J$5:$J$504,A55,Orders!$W$5:$W$504,"Won")</f>
        <v>0</v>
      </c>
    </row>
    <row r="56" spans="1:10" hidden="1" x14ac:dyDescent="0.3">
      <c r="A56" s="21">
        <v>54</v>
      </c>
      <c r="B56" s="30" t="s">
        <v>230</v>
      </c>
      <c r="C56" s="21" t="s">
        <v>146</v>
      </c>
      <c r="D56" s="21" t="s">
        <v>169</v>
      </c>
      <c r="E56" s="27">
        <v>195</v>
      </c>
      <c r="F56" s="16"/>
      <c r="G56" s="28" t="str">
        <f>IF(F56="","",(E56-F56)/E56)</f>
        <v/>
      </c>
      <c r="H56" s="28" t="str">
        <f>IF(F56="","",(E56*(1-'Discount Slabs'!$B$11)-F56)/(E56*(1-'Discount Slabs'!$B$11)))</f>
        <v/>
      </c>
      <c r="I56" s="21">
        <f>SUMIFS(Orders!$L$5:$L$504,Orders!$J$5:$J$504,A56,Orders!$W$5:$W$504,"Won")</f>
        <v>0</v>
      </c>
      <c r="J56" s="27">
        <f>SUMIFS(Orders!$Q$5:$Q$504,Orders!$J$5:$J$504,A56,Orders!$W$5:$W$504,"Won")</f>
        <v>0</v>
      </c>
    </row>
    <row r="57" spans="1:10" hidden="1" x14ac:dyDescent="0.3">
      <c r="A57" s="21">
        <v>55</v>
      </c>
      <c r="B57" s="30" t="s">
        <v>231</v>
      </c>
      <c r="C57" s="21" t="s">
        <v>146</v>
      </c>
      <c r="D57" s="21" t="s">
        <v>169</v>
      </c>
      <c r="E57" s="27">
        <v>195</v>
      </c>
      <c r="F57" s="16"/>
      <c r="G57" s="28" t="str">
        <f>IF(F57="","",(E57-F57)/E57)</f>
        <v/>
      </c>
      <c r="H57" s="28" t="str">
        <f>IF(F57="","",(E57*(1-'Discount Slabs'!$B$11)-F57)/(E57*(1-'Discount Slabs'!$B$11)))</f>
        <v/>
      </c>
      <c r="I57" s="21">
        <f>SUMIFS(Orders!$L$5:$L$504,Orders!$J$5:$J$504,A57,Orders!$W$5:$W$504,"Won")</f>
        <v>0</v>
      </c>
      <c r="J57" s="27">
        <f>SUMIFS(Orders!$Q$5:$Q$504,Orders!$J$5:$J$504,A57,Orders!$W$5:$W$504,"Won")</f>
        <v>0</v>
      </c>
    </row>
    <row r="58" spans="1:10" hidden="1" x14ac:dyDescent="0.3">
      <c r="A58" s="21">
        <v>56</v>
      </c>
      <c r="B58" s="30" t="s">
        <v>232</v>
      </c>
      <c r="C58" s="21" t="s">
        <v>146</v>
      </c>
      <c r="D58" s="21" t="s">
        <v>169</v>
      </c>
      <c r="E58" s="27">
        <v>195</v>
      </c>
      <c r="F58" s="16"/>
      <c r="G58" s="28" t="str">
        <f>IF(F58="","",(E58-F58)/E58)</f>
        <v/>
      </c>
      <c r="H58" s="28" t="str">
        <f>IF(F58="","",(E58*(1-'Discount Slabs'!$B$11)-F58)/(E58*(1-'Discount Slabs'!$B$11)))</f>
        <v/>
      </c>
      <c r="I58" s="21">
        <f>SUMIFS(Orders!$L$5:$L$504,Orders!$J$5:$J$504,A58,Orders!$W$5:$W$504,"Won")</f>
        <v>0</v>
      </c>
      <c r="J58" s="27">
        <f>SUMIFS(Orders!$Q$5:$Q$504,Orders!$J$5:$J$504,A58,Orders!$W$5:$W$504,"Won")</f>
        <v>0</v>
      </c>
    </row>
    <row r="59" spans="1:10" hidden="1" x14ac:dyDescent="0.3">
      <c r="A59" s="21">
        <v>57</v>
      </c>
      <c r="B59" s="21" t="s">
        <v>170</v>
      </c>
      <c r="C59" s="21" t="s">
        <v>122</v>
      </c>
      <c r="D59" s="21" t="s">
        <v>171</v>
      </c>
      <c r="E59" s="27">
        <v>165</v>
      </c>
      <c r="F59" s="16"/>
      <c r="G59" s="28" t="str">
        <f>IF(F59="","",(E59-F59)/E59)</f>
        <v/>
      </c>
      <c r="H59" s="28" t="str">
        <f>IF(F59="","",(E59*(1-'Discount Slabs'!$B$11)-F59)/(E59*(1-'Discount Slabs'!$B$11)))</f>
        <v/>
      </c>
      <c r="I59" s="21">
        <f>SUMIFS(Orders!$L$5:$L$504,Orders!$J$5:$J$504,A59,Orders!$W$5:$W$504,"Won")</f>
        <v>0</v>
      </c>
      <c r="J59" s="27">
        <f>SUMIFS(Orders!$Q$5:$Q$504,Orders!$J$5:$J$504,A59,Orders!$W$5:$W$504,"Won")</f>
        <v>0</v>
      </c>
    </row>
    <row r="60" spans="1:10" hidden="1" x14ac:dyDescent="0.3">
      <c r="A60" s="21">
        <v>58</v>
      </c>
      <c r="B60" s="21" t="s">
        <v>172</v>
      </c>
      <c r="C60" s="21" t="s">
        <v>149</v>
      </c>
      <c r="D60" s="21" t="s">
        <v>173</v>
      </c>
      <c r="E60" s="27">
        <v>375</v>
      </c>
      <c r="F60" s="16"/>
      <c r="G60" s="28" t="str">
        <f>IF(F60="","",(E60-F60)/E60)</f>
        <v/>
      </c>
      <c r="H60" s="28" t="str">
        <f>IF(F60="","",(E60*(1-'Discount Slabs'!$B$11)-F60)/(E60*(1-'Discount Slabs'!$B$11)))</f>
        <v/>
      </c>
      <c r="I60" s="21">
        <f>SUMIFS(Orders!$L$5:$L$504,Orders!$J$5:$J$504,A60,Orders!$W$5:$W$504,"Won")</f>
        <v>0</v>
      </c>
      <c r="J60" s="27">
        <f>SUMIFS(Orders!$Q$5:$Q$504,Orders!$J$5:$J$504,A60,Orders!$W$5:$W$504,"Won")</f>
        <v>0</v>
      </c>
    </row>
    <row r="61" spans="1:10" hidden="1" x14ac:dyDescent="0.3">
      <c r="A61" s="21">
        <v>59</v>
      </c>
      <c r="B61" s="30" t="s">
        <v>233</v>
      </c>
      <c r="C61" s="21" t="s">
        <v>146</v>
      </c>
      <c r="D61" s="21" t="s">
        <v>169</v>
      </c>
      <c r="E61" s="27">
        <v>195</v>
      </c>
      <c r="F61" s="16"/>
      <c r="G61" s="28" t="str">
        <f>IF(F61="","",(E61-F61)/E61)</f>
        <v/>
      </c>
      <c r="H61" s="28" t="str">
        <f>IF(F61="","",(E61*(1-'Discount Slabs'!$B$11)-F61)/(E61*(1-'Discount Slabs'!$B$11)))</f>
        <v/>
      </c>
      <c r="I61" s="21">
        <f>SUMIFS(Orders!$L$5:$L$504,Orders!$J$5:$J$504,A61,Orders!$W$5:$W$504,"Won")</f>
        <v>0</v>
      </c>
      <c r="J61" s="27">
        <f>SUMIFS(Orders!$Q$5:$Q$504,Orders!$J$5:$J$504,A61,Orders!$W$5:$W$504,"Won")</f>
        <v>0</v>
      </c>
    </row>
    <row r="62" spans="1:10" hidden="1" x14ac:dyDescent="0.3">
      <c r="A62" s="21">
        <v>60</v>
      </c>
      <c r="B62" s="21" t="s">
        <v>174</v>
      </c>
      <c r="C62" s="21" t="s">
        <v>146</v>
      </c>
      <c r="D62" s="21" t="s">
        <v>175</v>
      </c>
      <c r="E62" s="27">
        <v>110</v>
      </c>
      <c r="F62" s="16"/>
      <c r="G62" s="28" t="str">
        <f>IF(F62="","",(E62-F62)/E62)</f>
        <v/>
      </c>
      <c r="H62" s="28" t="str">
        <f>IF(F62="","",(E62*(1-'Discount Slabs'!$B$11)-F62)/(E62*(1-'Discount Slabs'!$B$11)))</f>
        <v/>
      </c>
      <c r="I62" s="21">
        <f>SUMIFS(Orders!$L$5:$L$504,Orders!$J$5:$J$504,A62,Orders!$W$5:$W$504,"Won")</f>
        <v>0</v>
      </c>
      <c r="J62" s="27">
        <f>SUMIFS(Orders!$Q$5:$Q$504,Orders!$J$5:$J$504,A62,Orders!$W$5:$W$504,"Won")</f>
        <v>0</v>
      </c>
    </row>
    <row r="63" spans="1:10" hidden="1" x14ac:dyDescent="0.3">
      <c r="A63" s="21">
        <v>61</v>
      </c>
      <c r="B63" s="21" t="s">
        <v>176</v>
      </c>
      <c r="C63" s="21" t="s">
        <v>122</v>
      </c>
      <c r="D63" s="21"/>
      <c r="E63" s="27">
        <v>800</v>
      </c>
      <c r="F63" s="16"/>
      <c r="G63" s="28" t="str">
        <f>IF(F63="","",(E63-F63)/E63)</f>
        <v/>
      </c>
      <c r="H63" s="28" t="str">
        <f>IF(F63="","",(E63*(1-'Discount Slabs'!$B$11)-F63)/(E63*(1-'Discount Slabs'!$B$11)))</f>
        <v/>
      </c>
      <c r="I63" s="21">
        <f>SUMIFS(Orders!$L$5:$L$504,Orders!$J$5:$J$504,A63,Orders!$W$5:$W$504,"Won")</f>
        <v>0</v>
      </c>
      <c r="J63" s="27">
        <f>SUMIFS(Orders!$Q$5:$Q$504,Orders!$J$5:$J$504,A63,Orders!$W$5:$W$504,"Won")</f>
        <v>0</v>
      </c>
    </row>
    <row r="64" spans="1:10" x14ac:dyDescent="0.3">
      <c r="A64" s="21">
        <v>62</v>
      </c>
      <c r="B64" s="21" t="s">
        <v>177</v>
      </c>
      <c r="C64" s="31" t="s">
        <v>283</v>
      </c>
      <c r="D64" s="21" t="s">
        <v>178</v>
      </c>
      <c r="E64" s="27">
        <v>270</v>
      </c>
      <c r="F64" s="16"/>
      <c r="G64" s="28" t="str">
        <f>IF(F64="","",(E64-F64)/E64)</f>
        <v/>
      </c>
      <c r="H64" s="28" t="str">
        <f>IF(F64="","",(E64*(1-'Discount Slabs'!$B$11)-F64)/(E64*(1-'Discount Slabs'!$B$11)))</f>
        <v/>
      </c>
      <c r="I64" s="21">
        <f>SUMIFS(Orders!$L$5:$L$504,Orders!$J$5:$J$504,A64,Orders!$W$5:$W$504,"Won")</f>
        <v>0</v>
      </c>
      <c r="J64" s="27">
        <f>SUMIFS(Orders!$Q$5:$Q$504,Orders!$J$5:$J$504,A64,Orders!$W$5:$W$504,"Won")</f>
        <v>0</v>
      </c>
    </row>
    <row r="65" spans="1:10" hidden="1" x14ac:dyDescent="0.3">
      <c r="A65" s="21">
        <v>64</v>
      </c>
      <c r="B65" s="21" t="s">
        <v>179</v>
      </c>
      <c r="C65" s="21" t="s">
        <v>122</v>
      </c>
      <c r="D65" s="21" t="s">
        <v>180</v>
      </c>
      <c r="E65" s="27">
        <v>400</v>
      </c>
      <c r="F65" s="16"/>
      <c r="G65" s="28" t="str">
        <f>IF(F65="","",(E65-F65)/E65)</f>
        <v/>
      </c>
      <c r="H65" s="28" t="str">
        <f>IF(F65="","",(E65*(1-'Discount Slabs'!$B$11)-F65)/(E65*(1-'Discount Slabs'!$B$11)))</f>
        <v/>
      </c>
      <c r="I65" s="21">
        <f>SUMIFS(Orders!$L$5:$L$504,Orders!$J$5:$J$504,A65,Orders!$W$5:$W$504,"Won")</f>
        <v>0</v>
      </c>
      <c r="J65" s="27">
        <f>SUMIFS(Orders!$Q$5:$Q$504,Orders!$J$5:$J$504,A65,Orders!$W$5:$W$504,"Won")</f>
        <v>0</v>
      </c>
    </row>
    <row r="66" spans="1:10" hidden="1" x14ac:dyDescent="0.3">
      <c r="A66" s="21">
        <v>66</v>
      </c>
      <c r="B66" s="30" t="s">
        <v>228</v>
      </c>
      <c r="C66" s="21" t="s">
        <v>122</v>
      </c>
      <c r="D66" s="21" t="s">
        <v>181</v>
      </c>
      <c r="E66" s="27">
        <v>675</v>
      </c>
      <c r="F66" s="16"/>
      <c r="G66" s="28" t="str">
        <f>IF(F66="","",(E66-F66)/E66)</f>
        <v/>
      </c>
      <c r="H66" s="28" t="str">
        <f>IF(F66="","",(E66*(1-'Discount Slabs'!$B$11)-F66)/(E66*(1-'Discount Slabs'!$B$11)))</f>
        <v/>
      </c>
      <c r="I66" s="21">
        <f>SUMIFS(Orders!$L$5:$L$504,Orders!$J$5:$J$504,A66,Orders!$W$5:$W$504,"Won")</f>
        <v>0</v>
      </c>
      <c r="J66" s="27">
        <f>SUMIFS(Orders!$Q$5:$Q$504,Orders!$J$5:$J$504,A66,Orders!$W$5:$W$504,"Won")</f>
        <v>0</v>
      </c>
    </row>
    <row r="67" spans="1:10" hidden="1" x14ac:dyDescent="0.3">
      <c r="A67" s="21">
        <v>68</v>
      </c>
      <c r="B67" s="21" t="s">
        <v>182</v>
      </c>
      <c r="C67" s="21" t="s">
        <v>157</v>
      </c>
      <c r="D67" s="21" t="s">
        <v>161</v>
      </c>
      <c r="E67" s="27">
        <v>160</v>
      </c>
      <c r="F67" s="16"/>
      <c r="G67" s="28" t="str">
        <f>IF(F67="","",(E67-F67)/E67)</f>
        <v/>
      </c>
      <c r="H67" s="28" t="str">
        <f>IF(F67="","",(E67*(1-'Discount Slabs'!$B$11)-F67)/(E67*(1-'Discount Slabs'!$B$11)))</f>
        <v/>
      </c>
      <c r="I67" s="21">
        <f>SUMIFS(Orders!$L$5:$L$504,Orders!$J$5:$J$504,A67,Orders!$W$5:$W$504,"Won")</f>
        <v>0</v>
      </c>
      <c r="J67" s="27">
        <f>SUMIFS(Orders!$Q$5:$Q$504,Orders!$J$5:$J$504,A67,Orders!$W$5:$W$504,"Won")</f>
        <v>0</v>
      </c>
    </row>
    <row r="68" spans="1:10" hidden="1" x14ac:dyDescent="0.3">
      <c r="A68" s="21">
        <v>69</v>
      </c>
      <c r="B68" s="21" t="s">
        <v>183</v>
      </c>
      <c r="C68" s="21" t="s">
        <v>140</v>
      </c>
      <c r="D68" s="21" t="s">
        <v>135</v>
      </c>
      <c r="E68" s="27">
        <v>280</v>
      </c>
      <c r="F68" s="16"/>
      <c r="G68" s="28" t="str">
        <f>IF(F68="","",(E68-F68)/E68)</f>
        <v/>
      </c>
      <c r="H68" s="28" t="str">
        <f>IF(F68="","",(E68*(1-'Discount Slabs'!$B$11)-F68)/(E68*(1-'Discount Slabs'!$B$11)))</f>
        <v/>
      </c>
      <c r="I68" s="21">
        <f>SUMIFS(Orders!$L$5:$L$504,Orders!$J$5:$J$504,A68,Orders!$W$5:$W$504,"Won")</f>
        <v>0</v>
      </c>
      <c r="J68" s="27">
        <f>SUMIFS(Orders!$Q$5:$Q$504,Orders!$J$5:$J$504,A68,Orders!$W$5:$W$504,"Won")</f>
        <v>0</v>
      </c>
    </row>
    <row r="69" spans="1:10" hidden="1" x14ac:dyDescent="0.3">
      <c r="A69" s="21">
        <v>70</v>
      </c>
      <c r="B69" s="21" t="s">
        <v>184</v>
      </c>
      <c r="C69" s="21" t="s">
        <v>140</v>
      </c>
      <c r="D69" s="21" t="s">
        <v>135</v>
      </c>
      <c r="E69" s="27">
        <v>475</v>
      </c>
      <c r="F69" s="16"/>
      <c r="G69" s="28" t="str">
        <f>IF(F69="","",(E69-F69)/E69)</f>
        <v/>
      </c>
      <c r="H69" s="28" t="str">
        <f>IF(F69="","",(E69*(1-'Discount Slabs'!$B$11)-F69)/(E69*(1-'Discount Slabs'!$B$11)))</f>
        <v/>
      </c>
      <c r="I69" s="21">
        <f>SUMIFS(Orders!$L$5:$L$504,Orders!$J$5:$J$504,A69,Orders!$W$5:$W$504,"Won")</f>
        <v>0</v>
      </c>
      <c r="J69" s="27">
        <f>SUMIFS(Orders!$Q$5:$Q$504,Orders!$J$5:$J$504,A69,Orders!$W$5:$W$504,"Won")</f>
        <v>0</v>
      </c>
    </row>
    <row r="70" spans="1:10" hidden="1" x14ac:dyDescent="0.3">
      <c r="A70" s="21">
        <v>71</v>
      </c>
      <c r="B70" s="21" t="s">
        <v>185</v>
      </c>
      <c r="C70" s="21" t="s">
        <v>140</v>
      </c>
      <c r="D70" s="21" t="s">
        <v>135</v>
      </c>
      <c r="E70" s="27">
        <v>320</v>
      </c>
      <c r="F70" s="16"/>
      <c r="G70" s="28" t="str">
        <f>IF(F70="","",(E70-F70)/E70)</f>
        <v/>
      </c>
      <c r="H70" s="28" t="str">
        <f>IF(F70="","",(E70*(1-'Discount Slabs'!$B$11)-F70)/(E70*(1-'Discount Slabs'!$B$11)))</f>
        <v/>
      </c>
      <c r="I70" s="21">
        <f>SUMIFS(Orders!$L$5:$L$504,Orders!$J$5:$J$504,A70,Orders!$W$5:$W$504,"Won")</f>
        <v>0</v>
      </c>
      <c r="J70" s="27">
        <f>SUMIFS(Orders!$Q$5:$Q$504,Orders!$J$5:$J$504,A70,Orders!$W$5:$W$504,"Won")</f>
        <v>0</v>
      </c>
    </row>
    <row r="71" spans="1:10" hidden="1" x14ac:dyDescent="0.3">
      <c r="A71" s="21">
        <v>72</v>
      </c>
      <c r="B71" s="21" t="s">
        <v>186</v>
      </c>
      <c r="C71" s="21" t="s">
        <v>140</v>
      </c>
      <c r="D71" s="21" t="s">
        <v>135</v>
      </c>
      <c r="E71" s="27">
        <v>600</v>
      </c>
      <c r="F71" s="16"/>
      <c r="G71" s="28" t="str">
        <f>IF(F71="","",(E71-F71)/E71)</f>
        <v/>
      </c>
      <c r="H71" s="28" t="str">
        <f>IF(F71="","",(E71*(1-'Discount Slabs'!$B$11)-F71)/(E71*(1-'Discount Slabs'!$B$11)))</f>
        <v/>
      </c>
      <c r="I71" s="21">
        <f>SUMIFS(Orders!$L$5:$L$504,Orders!$J$5:$J$504,A71,Orders!$W$5:$W$504,"Won")</f>
        <v>0</v>
      </c>
      <c r="J71" s="27">
        <f>SUMIFS(Orders!$Q$5:$Q$504,Orders!$J$5:$J$504,A71,Orders!$W$5:$W$504,"Won")</f>
        <v>0</v>
      </c>
    </row>
    <row r="72" spans="1:10" hidden="1" x14ac:dyDescent="0.3">
      <c r="A72" s="21">
        <v>73</v>
      </c>
      <c r="B72" s="31" t="s">
        <v>249</v>
      </c>
      <c r="C72" s="21" t="s">
        <v>122</v>
      </c>
      <c r="D72" s="21" t="s">
        <v>187</v>
      </c>
      <c r="E72" s="27">
        <v>220</v>
      </c>
      <c r="F72" s="16"/>
      <c r="G72" s="28" t="str">
        <f>IF(F72="","",(E72-F72)/E72)</f>
        <v/>
      </c>
      <c r="H72" s="28" t="str">
        <f>IF(F72="","",(E72*(1-'Discount Slabs'!$B$11)-F72)/(E72*(1-'Discount Slabs'!$B$11)))</f>
        <v/>
      </c>
      <c r="I72" s="21">
        <f>SUMIFS(Orders!$L$5:$L$504,Orders!$J$5:$J$504,A72,Orders!$W$5:$W$504,"Won")</f>
        <v>0</v>
      </c>
      <c r="J72" s="27">
        <f>SUMIFS(Orders!$Q$5:$Q$504,Orders!$J$5:$J$504,A72,Orders!$W$5:$W$504,"Won")</f>
        <v>0</v>
      </c>
    </row>
    <row r="73" spans="1:10" hidden="1" x14ac:dyDescent="0.3">
      <c r="A73" s="21">
        <v>74</v>
      </c>
      <c r="B73" s="30" t="s">
        <v>225</v>
      </c>
      <c r="C73" s="21" t="s">
        <v>122</v>
      </c>
      <c r="D73" s="21" t="s">
        <v>188</v>
      </c>
      <c r="E73" s="27">
        <v>160</v>
      </c>
      <c r="F73" s="16"/>
      <c r="G73" s="28" t="str">
        <f>IF(F73="","",(E73-F73)/E73)</f>
        <v/>
      </c>
      <c r="H73" s="28" t="str">
        <f>IF(F73="","",(E73*(1-'Discount Slabs'!$B$11)-F73)/(E73*(1-'Discount Slabs'!$B$11)))</f>
        <v/>
      </c>
      <c r="I73" s="21">
        <f>SUMIFS(Orders!$L$5:$L$504,Orders!$J$5:$J$504,A73,Orders!$W$5:$W$504,"Won")</f>
        <v>0</v>
      </c>
      <c r="J73" s="27">
        <f>SUMIFS(Orders!$Q$5:$Q$504,Orders!$J$5:$J$504,A73,Orders!$W$5:$W$504,"Won")</f>
        <v>0</v>
      </c>
    </row>
    <row r="74" spans="1:10" x14ac:dyDescent="0.3">
      <c r="A74" s="21">
        <v>75</v>
      </c>
      <c r="B74" s="21" t="s">
        <v>189</v>
      </c>
      <c r="C74" s="31" t="s">
        <v>283</v>
      </c>
      <c r="D74" s="21" t="s">
        <v>190</v>
      </c>
      <c r="E74" s="27">
        <v>320</v>
      </c>
      <c r="F74" s="16"/>
      <c r="G74" s="28" t="str">
        <f>IF(F74="","",(E74-F74)/E74)</f>
        <v/>
      </c>
      <c r="H74" s="28" t="str">
        <f>IF(F74="","",(E74*(1-'Discount Slabs'!$B$11)-F74)/(E74*(1-'Discount Slabs'!$B$11)))</f>
        <v/>
      </c>
      <c r="I74" s="21">
        <f>SUMIFS(Orders!$L$5:$L$504,Orders!$J$5:$J$504,A74,Orders!$W$5:$W$504,"Won")</f>
        <v>0</v>
      </c>
      <c r="J74" s="27">
        <f>SUMIFS(Orders!$Q$5:$Q$504,Orders!$J$5:$J$504,A74,Orders!$W$5:$W$504,"Won")</f>
        <v>0</v>
      </c>
    </row>
    <row r="75" spans="1:10" hidden="1" x14ac:dyDescent="0.3">
      <c r="A75" s="21">
        <v>76</v>
      </c>
      <c r="B75" s="30" t="s">
        <v>229</v>
      </c>
      <c r="C75" s="21" t="s">
        <v>122</v>
      </c>
      <c r="D75" s="21" t="s">
        <v>191</v>
      </c>
      <c r="E75" s="27">
        <v>450</v>
      </c>
      <c r="F75" s="16"/>
      <c r="G75" s="28" t="str">
        <f>IF(F75="","",(E75-F75)/E75)</f>
        <v/>
      </c>
      <c r="H75" s="28" t="str">
        <f>IF(F75="","",(E75*(1-'Discount Slabs'!$B$11)-F75)/(E75*(1-'Discount Slabs'!$B$11)))</f>
        <v/>
      </c>
      <c r="I75" s="21">
        <f>SUMIFS(Orders!$L$5:$L$504,Orders!$J$5:$J$504,A75,Orders!$W$5:$W$504,"Won")</f>
        <v>0</v>
      </c>
      <c r="J75" s="27">
        <f>SUMIFS(Orders!$Q$5:$Q$504,Orders!$J$5:$J$504,A75,Orders!$W$5:$W$504,"Won")</f>
        <v>0</v>
      </c>
    </row>
    <row r="76" spans="1:10" hidden="1" x14ac:dyDescent="0.3">
      <c r="A76" s="21">
        <v>77</v>
      </c>
      <c r="B76" s="32" t="s">
        <v>244</v>
      </c>
      <c r="C76" s="21" t="s">
        <v>149</v>
      </c>
      <c r="D76" s="21" t="s">
        <v>159</v>
      </c>
      <c r="E76" s="27">
        <v>280</v>
      </c>
      <c r="F76" s="16"/>
      <c r="G76" s="28" t="str">
        <f>IF(F76="","",(E76-F76)/E76)</f>
        <v/>
      </c>
      <c r="H76" s="28" t="str">
        <f>IF(F76="","",(E76*(1-'Discount Slabs'!$B$11)-F76)/(E76*(1-'Discount Slabs'!$B$11)))</f>
        <v/>
      </c>
      <c r="I76" s="21">
        <f>SUMIFS(Orders!$L$5:$L$504,Orders!$J$5:$J$504,A76,Orders!$W$5:$W$504,"Won")</f>
        <v>0</v>
      </c>
      <c r="J76" s="27">
        <f>SUMIFS(Orders!$Q$5:$Q$504,Orders!$J$5:$J$504,A76,Orders!$W$5:$W$504,"Won")</f>
        <v>0</v>
      </c>
    </row>
    <row r="77" spans="1:10" hidden="1" x14ac:dyDescent="0.3">
      <c r="A77" s="21">
        <v>78</v>
      </c>
      <c r="B77" s="21" t="s">
        <v>192</v>
      </c>
      <c r="C77" s="21" t="s">
        <v>122</v>
      </c>
      <c r="D77" s="21" t="s">
        <v>193</v>
      </c>
      <c r="E77" s="27">
        <v>480</v>
      </c>
      <c r="F77" s="16"/>
      <c r="G77" s="28" t="str">
        <f>IF(F77="","",(E77-F77)/E77)</f>
        <v/>
      </c>
      <c r="H77" s="28" t="str">
        <f>IF(F77="","",(E77*(1-'Discount Slabs'!$B$11)-F77)/(E77*(1-'Discount Slabs'!$B$11)))</f>
        <v/>
      </c>
      <c r="I77" s="21">
        <f>SUMIFS(Orders!$L$5:$L$504,Orders!$J$5:$J$504,A77,Orders!$W$5:$W$504,"Won")</f>
        <v>0</v>
      </c>
      <c r="J77" s="27">
        <f>SUMIFS(Orders!$Q$5:$Q$504,Orders!$J$5:$J$504,A77,Orders!$W$5:$W$504,"Won")</f>
        <v>0</v>
      </c>
    </row>
    <row r="78" spans="1:10" hidden="1" x14ac:dyDescent="0.3">
      <c r="A78" s="21">
        <v>79</v>
      </c>
      <c r="B78" s="21" t="s">
        <v>194</v>
      </c>
      <c r="C78" s="21" t="s">
        <v>122</v>
      </c>
      <c r="D78" s="21" t="s">
        <v>195</v>
      </c>
      <c r="E78" s="27">
        <v>160</v>
      </c>
      <c r="F78" s="16"/>
      <c r="G78" s="28" t="str">
        <f>IF(F78="","",(E78-F78)/E78)</f>
        <v/>
      </c>
      <c r="H78" s="28" t="str">
        <f>IF(F78="","",(E78*(1-'Discount Slabs'!$B$11)-F78)/(E78*(1-'Discount Slabs'!$B$11)))</f>
        <v/>
      </c>
      <c r="I78" s="21">
        <f>SUMIFS(Orders!$L$5:$L$504,Orders!$J$5:$J$504,A78,Orders!$W$5:$W$504,"Won")</f>
        <v>0</v>
      </c>
      <c r="J78" s="27">
        <f>SUMIFS(Orders!$Q$5:$Q$504,Orders!$J$5:$J$504,A78,Orders!$W$5:$W$504,"Won")</f>
        <v>0</v>
      </c>
    </row>
    <row r="79" spans="1:10" hidden="1" x14ac:dyDescent="0.3">
      <c r="A79" s="21">
        <v>80</v>
      </c>
      <c r="B79" s="21" t="s">
        <v>196</v>
      </c>
      <c r="C79" s="21" t="s">
        <v>149</v>
      </c>
      <c r="D79" s="21"/>
      <c r="E79" s="27">
        <v>180</v>
      </c>
      <c r="F79" s="16"/>
      <c r="G79" s="28" t="str">
        <f>IF(F79="","",(E79-F79)/E79)</f>
        <v/>
      </c>
      <c r="H79" s="28" t="str">
        <f>IF(F79="","",(E79*(1-'Discount Slabs'!$B$11)-F79)/(E79*(1-'Discount Slabs'!$B$11)))</f>
        <v/>
      </c>
      <c r="I79" s="21">
        <f>SUMIFS(Orders!$L$5:$L$504,Orders!$J$5:$J$504,A79,Orders!$W$5:$W$504,"Won")</f>
        <v>0</v>
      </c>
      <c r="J79" s="27">
        <f>SUMIFS(Orders!$Q$5:$Q$504,Orders!$J$5:$J$504,A79,Orders!$W$5:$W$504,"Won")</f>
        <v>0</v>
      </c>
    </row>
    <row r="80" spans="1:10" hidden="1" x14ac:dyDescent="0.3">
      <c r="A80" s="21">
        <v>81</v>
      </c>
      <c r="B80" s="32" t="s">
        <v>245</v>
      </c>
      <c r="C80" s="21" t="s">
        <v>149</v>
      </c>
      <c r="D80" s="21" t="s">
        <v>159</v>
      </c>
      <c r="E80" s="27">
        <v>240</v>
      </c>
      <c r="F80" s="16"/>
      <c r="G80" s="28" t="str">
        <f>IF(F80="","",(E80-F80)/E80)</f>
        <v/>
      </c>
      <c r="H80" s="28" t="str">
        <f>IF(F80="","",(E80*(1-'Discount Slabs'!$B$11)-F80)/(E80*(1-'Discount Slabs'!$B$11)))</f>
        <v/>
      </c>
      <c r="I80" s="21">
        <f>SUMIFS(Orders!$L$5:$L$504,Orders!$J$5:$J$504,A80,Orders!$W$5:$W$504,"Won")</f>
        <v>0</v>
      </c>
      <c r="J80" s="27">
        <f>SUMIFS(Orders!$Q$5:$Q$504,Orders!$J$5:$J$504,A80,Orders!$W$5:$W$504,"Won")</f>
        <v>0</v>
      </c>
    </row>
    <row r="81" spans="1:10" hidden="1" x14ac:dyDescent="0.3">
      <c r="A81" s="21">
        <v>82</v>
      </c>
      <c r="B81" s="30" t="s">
        <v>235</v>
      </c>
      <c r="C81" s="21" t="s">
        <v>149</v>
      </c>
      <c r="D81" s="21" t="s">
        <v>197</v>
      </c>
      <c r="E81" s="27">
        <v>375</v>
      </c>
      <c r="F81" s="16"/>
      <c r="G81" s="28" t="str">
        <f>IF(F81="","",(E81-F81)/E81)</f>
        <v/>
      </c>
      <c r="H81" s="28" t="str">
        <f>IF(F81="","",(E81*(1-'Discount Slabs'!$B$11)-F81)/(E81*(1-'Discount Slabs'!$B$11)))</f>
        <v/>
      </c>
      <c r="I81" s="21">
        <f>SUMIFS(Orders!$L$5:$L$504,Orders!$J$5:$J$504,A81,Orders!$W$5:$W$504,"Won")</f>
        <v>0</v>
      </c>
      <c r="J81" s="27">
        <f>SUMIFS(Orders!$Q$5:$Q$504,Orders!$J$5:$J$504,A81,Orders!$W$5:$W$504,"Won")</f>
        <v>0</v>
      </c>
    </row>
    <row r="82" spans="1:10" hidden="1" x14ac:dyDescent="0.3">
      <c r="A82" s="21">
        <v>83</v>
      </c>
      <c r="B82" s="21" t="s">
        <v>198</v>
      </c>
      <c r="C82" s="21" t="s">
        <v>122</v>
      </c>
      <c r="D82" s="21" t="s">
        <v>199</v>
      </c>
      <c r="E82" s="27">
        <v>950</v>
      </c>
      <c r="F82" s="16"/>
      <c r="G82" s="28" t="str">
        <f>IF(F82="","",(E82-F82)/E82)</f>
        <v/>
      </c>
      <c r="H82" s="28" t="str">
        <f>IF(F82="","",(E82*(1-'Discount Slabs'!$B$11)-F82)/(E82*(1-'Discount Slabs'!$B$11)))</f>
        <v/>
      </c>
      <c r="I82" s="21">
        <f>SUMIFS(Orders!$L$5:$L$504,Orders!$J$5:$J$504,A82,Orders!$W$5:$W$504,"Won")</f>
        <v>0</v>
      </c>
      <c r="J82" s="27">
        <f>SUMIFS(Orders!$Q$5:$Q$504,Orders!$J$5:$J$504,A82,Orders!$W$5:$W$504,"Won")</f>
        <v>0</v>
      </c>
    </row>
    <row r="83" spans="1:10" hidden="1" x14ac:dyDescent="0.3">
      <c r="A83" s="21">
        <v>84</v>
      </c>
      <c r="B83" s="32" t="s">
        <v>263</v>
      </c>
      <c r="C83" s="31" t="s">
        <v>270</v>
      </c>
      <c r="D83" s="21" t="s">
        <v>202</v>
      </c>
      <c r="E83" s="33">
        <v>2050</v>
      </c>
      <c r="F83" s="16">
        <v>1025</v>
      </c>
      <c r="G83" s="28">
        <f>IF(F83="","",(E83-F83)/E83)</f>
        <v>0.5</v>
      </c>
      <c r="H83" s="28">
        <f>IF(F83="","",(E83*(1-'Discount Slabs'!$B$11)-F83)/(E83*(1-'Discount Slabs'!$B$11)))</f>
        <v>0.41176470588235292</v>
      </c>
      <c r="I83" s="21">
        <f>SUMIFS(Orders!$L$5:$L$504,Orders!$J$5:$J$504,A83,Orders!$W$5:$W$504,"Won")</f>
        <v>0</v>
      </c>
      <c r="J83" s="27">
        <f>SUMIFS(Orders!$Q$5:$Q$504,Orders!$J$5:$J$504,A83,Orders!$W$5:$W$504,"Won")</f>
        <v>0</v>
      </c>
    </row>
    <row r="84" spans="1:10" hidden="1" x14ac:dyDescent="0.3">
      <c r="A84" s="21">
        <v>85</v>
      </c>
      <c r="B84" s="32" t="s">
        <v>264</v>
      </c>
      <c r="C84" s="31" t="s">
        <v>270</v>
      </c>
      <c r="D84" s="21" t="s">
        <v>202</v>
      </c>
      <c r="E84" s="33">
        <v>1800</v>
      </c>
      <c r="F84" s="16"/>
      <c r="G84" s="28" t="str">
        <f>IF(F84="","",(E84-F84)/E84)</f>
        <v/>
      </c>
      <c r="H84" s="28" t="str">
        <f>IF(F84="","",(E84*(1-'Discount Slabs'!$B$11)-F84)/(E84*(1-'Discount Slabs'!$B$11)))</f>
        <v/>
      </c>
      <c r="I84" s="21">
        <f>SUMIFS(Orders!$L$5:$L$504,Orders!$J$5:$J$504,A84,Orders!$W$5:$W$504,"Won")</f>
        <v>0</v>
      </c>
      <c r="J84" s="27">
        <f>SUMIFS(Orders!$Q$5:$Q$504,Orders!$J$5:$J$504,A84,Orders!$W$5:$W$504,"Won")</f>
        <v>0</v>
      </c>
    </row>
    <row r="85" spans="1:10" hidden="1" x14ac:dyDescent="0.3">
      <c r="A85" s="21">
        <v>86</v>
      </c>
      <c r="B85" s="32" t="s">
        <v>265</v>
      </c>
      <c r="C85" s="31" t="s">
        <v>270</v>
      </c>
      <c r="D85" s="21" t="s">
        <v>202</v>
      </c>
      <c r="E85" s="33">
        <v>2100</v>
      </c>
      <c r="F85" s="16"/>
      <c r="G85" s="28" t="str">
        <f>IF(F85="","",(E85-F85)/E85)</f>
        <v/>
      </c>
      <c r="H85" s="28" t="str">
        <f>IF(F85="","",(E85*(1-'Discount Slabs'!$B$11)-F85)/(E85*(1-'Discount Slabs'!$B$11)))</f>
        <v/>
      </c>
      <c r="I85" s="21">
        <f>SUMIFS(Orders!$L$5:$L$504,Orders!$J$5:$J$504,A85,Orders!$W$5:$W$504,"Won")</f>
        <v>0</v>
      </c>
      <c r="J85" s="27">
        <f>SUMIFS(Orders!$Q$5:$Q$504,Orders!$J$5:$J$504,A85,Orders!$W$5:$W$504,"Won")</f>
        <v>0</v>
      </c>
    </row>
    <row r="86" spans="1:10" hidden="1" x14ac:dyDescent="0.3">
      <c r="A86" s="21">
        <v>87</v>
      </c>
      <c r="B86" s="32" t="s">
        <v>266</v>
      </c>
      <c r="C86" s="31" t="s">
        <v>270</v>
      </c>
      <c r="D86" s="21" t="s">
        <v>202</v>
      </c>
      <c r="E86" s="33">
        <v>1900</v>
      </c>
      <c r="F86" s="16"/>
      <c r="G86" s="28" t="str">
        <f>IF(F86="","",(E86-F86)/E86)</f>
        <v/>
      </c>
      <c r="H86" s="28" t="str">
        <f>IF(F86="","",(E86*(1-'Discount Slabs'!$B$11)-F86)/(E86*(1-'Discount Slabs'!$B$11)))</f>
        <v/>
      </c>
      <c r="I86" s="21">
        <f>SUMIFS(Orders!$L$5:$L$504,Orders!$J$5:$J$504,A86,Orders!$W$5:$W$504,"Won")</f>
        <v>0</v>
      </c>
      <c r="J86" s="27">
        <f>SUMIFS(Orders!$Q$5:$Q$504,Orders!$J$5:$J$504,A86,Orders!$W$5:$W$504,"Won")</f>
        <v>0</v>
      </c>
    </row>
    <row r="87" spans="1:10" hidden="1" x14ac:dyDescent="0.3">
      <c r="A87" s="21">
        <v>88</v>
      </c>
      <c r="B87" s="32" t="s">
        <v>267</v>
      </c>
      <c r="C87" s="31" t="s">
        <v>270</v>
      </c>
      <c r="D87" s="21" t="s">
        <v>202</v>
      </c>
      <c r="E87" s="27">
        <v>2250</v>
      </c>
      <c r="F87" s="16">
        <v>400</v>
      </c>
      <c r="G87" s="28">
        <f>IF(F87="","",(E87-F87)/E87)</f>
        <v>0.82222222222222219</v>
      </c>
      <c r="H87" s="28">
        <f>IF(F87="","",(E87*(1-'Discount Slabs'!$B$11)-F87)/(E87*(1-'Discount Slabs'!$B$11)))</f>
        <v>0.79084967320261434</v>
      </c>
      <c r="I87" s="21">
        <f>SUMIFS(Orders!$L$5:$L$504,Orders!$J$5:$J$504,A87,Orders!$W$5:$W$504,"Won")</f>
        <v>0</v>
      </c>
      <c r="J87" s="27">
        <f>SUMIFS(Orders!$Q$5:$Q$504,Orders!$J$5:$J$504,A87,Orders!$W$5:$W$504,"Won")</f>
        <v>0</v>
      </c>
    </row>
    <row r="88" spans="1:10" hidden="1" x14ac:dyDescent="0.3">
      <c r="A88" s="21">
        <v>89</v>
      </c>
      <c r="B88" s="32" t="s">
        <v>268</v>
      </c>
      <c r="C88" s="31" t="s">
        <v>270</v>
      </c>
      <c r="D88" s="21" t="s">
        <v>202</v>
      </c>
      <c r="E88" s="27">
        <v>2400</v>
      </c>
      <c r="F88" s="16">
        <v>1600</v>
      </c>
      <c r="G88" s="28">
        <f>IF(F88="","",(E88-F88)/E88)</f>
        <v>0.33333333333333331</v>
      </c>
      <c r="H88" s="28">
        <f>IF(F88="","",(E88*(1-'Discount Slabs'!$B$11)-F88)/(E88*(1-'Discount Slabs'!$B$11)))</f>
        <v>0.21568627450980393</v>
      </c>
      <c r="I88" s="21">
        <f>SUMIFS(Orders!$L$5:$L$504,Orders!$J$5:$J$504,A88,Orders!$W$5:$W$504,"Won")</f>
        <v>0</v>
      </c>
      <c r="J88" s="27">
        <f>SUMIFS(Orders!$Q$5:$Q$504,Orders!$J$5:$J$504,A88,Orders!$W$5:$W$504,"Won")</f>
        <v>0</v>
      </c>
    </row>
    <row r="89" spans="1:10" hidden="1" x14ac:dyDescent="0.3">
      <c r="A89" s="21">
        <v>90</v>
      </c>
      <c r="B89" s="32" t="s">
        <v>269</v>
      </c>
      <c r="C89" s="31" t="s">
        <v>270</v>
      </c>
      <c r="D89" s="21" t="s">
        <v>202</v>
      </c>
      <c r="E89" s="27">
        <v>2850</v>
      </c>
      <c r="F89" s="16">
        <v>390</v>
      </c>
      <c r="G89" s="28">
        <f>IF(F89="","",(E89-F89)/E89)</f>
        <v>0.86315789473684212</v>
      </c>
      <c r="H89" s="28">
        <f>IF(F89="","",(E89*(1-'Discount Slabs'!$B$11)-F89)/(E89*(1-'Discount Slabs'!$B$11)))</f>
        <v>0.83900928792569662</v>
      </c>
      <c r="I89" s="21">
        <f>SUMIFS(Orders!$L$5:$L$504,Orders!$J$5:$J$504,A89,Orders!$W$5:$W$504,"Won")</f>
        <v>0</v>
      </c>
      <c r="J89" s="27">
        <f>SUMIFS(Orders!$Q$5:$Q$504,Orders!$J$5:$J$504,A89,Orders!$W$5:$W$504,"Won")</f>
        <v>0</v>
      </c>
    </row>
    <row r="90" spans="1:10" hidden="1" x14ac:dyDescent="0.3">
      <c r="A90" s="21">
        <v>91</v>
      </c>
      <c r="B90" s="32" t="s">
        <v>260</v>
      </c>
      <c r="C90" s="31" t="s">
        <v>122</v>
      </c>
      <c r="D90" s="21" t="s">
        <v>202</v>
      </c>
      <c r="E90" s="27">
        <v>750</v>
      </c>
      <c r="F90" s="16">
        <v>390</v>
      </c>
      <c r="G90" s="28">
        <f>IF(F90="","",(E90-F90)/E90)</f>
        <v>0.48</v>
      </c>
      <c r="H90" s="28">
        <f>IF(F90="","",(E90*(1-'Discount Slabs'!$B$11)-F90)/(E90*(1-'Discount Slabs'!$B$11)))</f>
        <v>0.38823529411764707</v>
      </c>
      <c r="I90" s="21">
        <f>SUMIFS(Orders!$L$5:$L$504,Orders!$J$5:$J$504,A90,Orders!$W$5:$W$504,"Won")</f>
        <v>0</v>
      </c>
      <c r="J90" s="27">
        <f>SUMIFS(Orders!$Q$5:$Q$504,Orders!$J$5:$J$504,A90,Orders!$W$5:$W$504,"Won")</f>
        <v>0</v>
      </c>
    </row>
    <row r="91" spans="1:10" hidden="1" x14ac:dyDescent="0.3">
      <c r="A91" s="21">
        <v>92</v>
      </c>
      <c r="B91" s="32" t="s">
        <v>261</v>
      </c>
      <c r="C91" s="31" t="s">
        <v>122</v>
      </c>
      <c r="D91" s="21" t="s">
        <v>202</v>
      </c>
      <c r="E91" s="27">
        <v>750</v>
      </c>
      <c r="F91" s="16">
        <v>390</v>
      </c>
      <c r="G91" s="28">
        <f>IF(F91="","",(E91-F91)/E91)</f>
        <v>0.48</v>
      </c>
      <c r="H91" s="28">
        <f>IF(F91="","",(E91*(1-'Discount Slabs'!$B$11)-F91)/(E91*(1-'Discount Slabs'!$B$11)))</f>
        <v>0.38823529411764707</v>
      </c>
      <c r="I91" s="21">
        <f>SUMIFS(Orders!$L$5:$L$504,Orders!$J$5:$J$504,A91,Orders!$W$5:$W$504,"Won")</f>
        <v>0</v>
      </c>
      <c r="J91" s="27">
        <f>SUMIFS(Orders!$Q$5:$Q$504,Orders!$J$5:$J$504,A91,Orders!$W$5:$W$504,"Won")</f>
        <v>0</v>
      </c>
    </row>
    <row r="92" spans="1:10" hidden="1" x14ac:dyDescent="0.3">
      <c r="A92" s="21">
        <v>93</v>
      </c>
      <c r="B92" s="32" t="s">
        <v>262</v>
      </c>
      <c r="C92" s="31" t="s">
        <v>122</v>
      </c>
      <c r="D92" s="21" t="s">
        <v>202</v>
      </c>
      <c r="E92" s="27">
        <v>750</v>
      </c>
      <c r="F92" s="16">
        <v>390</v>
      </c>
      <c r="G92" s="28">
        <f>IF(F92="","",(E92-F92)/E92)</f>
        <v>0.48</v>
      </c>
      <c r="H92" s="28">
        <f>IF(F92="","",(E92*(1-'Discount Slabs'!$B$11)-F92)/(E92*(1-'Discount Slabs'!$B$11)))</f>
        <v>0.38823529411764707</v>
      </c>
      <c r="I92" s="21">
        <f>SUMIFS(Orders!$L$5:$L$504,Orders!$J$5:$J$504,A92,Orders!$W$5:$W$504,"Won")</f>
        <v>0</v>
      </c>
      <c r="J92" s="27">
        <f>SUMIFS(Orders!$Q$5:$Q$504,Orders!$J$5:$J$504,A92,Orders!$W$5:$W$504,"Won")</f>
        <v>0</v>
      </c>
    </row>
    <row r="93" spans="1:10" hidden="1" x14ac:dyDescent="0.3">
      <c r="A93" s="21">
        <v>94</v>
      </c>
      <c r="B93" s="32" t="s">
        <v>271</v>
      </c>
      <c r="C93" s="31" t="s">
        <v>122</v>
      </c>
      <c r="D93" s="31" t="s">
        <v>288</v>
      </c>
      <c r="E93" s="27">
        <v>360</v>
      </c>
      <c r="F93" s="16">
        <v>240</v>
      </c>
      <c r="G93" s="28">
        <f t="shared" ref="G93:G108" si="0">IF(F93="","",(E93-F93)/E93)</f>
        <v>0.33333333333333331</v>
      </c>
      <c r="H93" s="28">
        <f>IF(F93="","",(E93*(1-'Discount Slabs'!$B$11)-F93)/(E93*(1-'Discount Slabs'!$B$11)))</f>
        <v>0.21568627450980393</v>
      </c>
      <c r="I93" s="21">
        <f>SUMIFS(Orders!$L$5:$L$504,Orders!$J$5:$J$504,A93,Orders!$W$5:$W$504,"Won")</f>
        <v>0</v>
      </c>
      <c r="J93" s="27">
        <f>SUMIFS(Orders!$Q$5:$Q$504,Orders!$J$5:$J$504,A93,Orders!$W$5:$W$504,"Won")</f>
        <v>0</v>
      </c>
    </row>
    <row r="94" spans="1:10" hidden="1" x14ac:dyDescent="0.3">
      <c r="A94" s="21">
        <v>95</v>
      </c>
      <c r="B94" s="32" t="s">
        <v>272</v>
      </c>
      <c r="C94" s="31" t="s">
        <v>122</v>
      </c>
      <c r="D94" s="31" t="s">
        <v>289</v>
      </c>
      <c r="E94" s="27">
        <v>220</v>
      </c>
      <c r="F94" s="16">
        <v>295</v>
      </c>
      <c r="G94" s="28">
        <f t="shared" si="0"/>
        <v>-0.34090909090909088</v>
      </c>
      <c r="H94" s="28">
        <f>IF(F94="","",(E94*(1-'Discount Slabs'!$B$11)-F94)/(E94*(1-'Discount Slabs'!$B$11)))</f>
        <v>-0.57754010695187163</v>
      </c>
      <c r="I94" s="21">
        <f>SUMIFS(Orders!$L$5:$L$504,Orders!$J$5:$J$504,A94,Orders!$W$5:$W$504,"Won")</f>
        <v>0</v>
      </c>
      <c r="J94" s="27">
        <f>SUMIFS(Orders!$Q$5:$Q$504,Orders!$J$5:$J$504,A94,Orders!$W$5:$W$504,"Won")</f>
        <v>0</v>
      </c>
    </row>
    <row r="95" spans="1:10" hidden="1" x14ac:dyDescent="0.3">
      <c r="A95" s="21">
        <v>96</v>
      </c>
      <c r="B95" s="32" t="s">
        <v>273</v>
      </c>
      <c r="C95" s="31" t="s">
        <v>122</v>
      </c>
      <c r="D95" s="31" t="s">
        <v>290</v>
      </c>
      <c r="E95" s="27">
        <v>220</v>
      </c>
      <c r="F95" s="16">
        <v>345</v>
      </c>
      <c r="G95" s="28">
        <f t="shared" si="0"/>
        <v>-0.56818181818181823</v>
      </c>
      <c r="H95" s="28">
        <f>IF(F95="","",(E95*(1-'Discount Slabs'!$B$11)-F95)/(E95*(1-'Discount Slabs'!$B$11)))</f>
        <v>-0.84491978609625673</v>
      </c>
      <c r="I95" s="21">
        <f>SUMIFS(Orders!$L$5:$L$504,Orders!$J$5:$J$504,A95,Orders!$W$5:$W$504,"Won")</f>
        <v>0</v>
      </c>
      <c r="J95" s="27">
        <f>SUMIFS(Orders!$Q$5:$Q$504,Orders!$J$5:$J$504,A95,Orders!$W$5:$W$504,"Won")</f>
        <v>0</v>
      </c>
    </row>
    <row r="96" spans="1:10" hidden="1" x14ac:dyDescent="0.3">
      <c r="A96" s="21">
        <v>97</v>
      </c>
      <c r="B96" s="32" t="s">
        <v>274</v>
      </c>
      <c r="C96" s="31" t="s">
        <v>122</v>
      </c>
      <c r="D96" s="21" t="s">
        <v>201</v>
      </c>
      <c r="E96" s="27">
        <v>220</v>
      </c>
      <c r="F96" s="16">
        <v>650</v>
      </c>
      <c r="G96" s="28">
        <f t="shared" si="0"/>
        <v>-1.9545454545454546</v>
      </c>
      <c r="H96" s="28">
        <f>IF(F96="","",(E96*(1-'Discount Slabs'!$B$11)-F96)/(E96*(1-'Discount Slabs'!$B$11)))</f>
        <v>-2.4759358288770055</v>
      </c>
      <c r="I96" s="21">
        <f>SUMIFS(Orders!$L$5:$L$504,Orders!$J$5:$J$504,A96,Orders!$W$5:$W$504,"Won")</f>
        <v>0</v>
      </c>
      <c r="J96" s="27">
        <f>SUMIFS(Orders!$Q$5:$Q$504,Orders!$J$5:$J$504,A96,Orders!$W$5:$W$504,"Won")</f>
        <v>0</v>
      </c>
    </row>
    <row r="97" spans="1:10" hidden="1" x14ac:dyDescent="0.3">
      <c r="A97" s="21">
        <v>98</v>
      </c>
      <c r="B97" s="32" t="s">
        <v>275</v>
      </c>
      <c r="C97" s="31" t="s">
        <v>284</v>
      </c>
      <c r="D97" s="31" t="s">
        <v>285</v>
      </c>
      <c r="E97" s="27">
        <v>295</v>
      </c>
      <c r="F97" s="16">
        <v>180</v>
      </c>
      <c r="G97" s="28">
        <f t="shared" si="0"/>
        <v>0.38983050847457629</v>
      </c>
      <c r="H97" s="28">
        <f>IF(F97="","",(E97*(1-'Discount Slabs'!$B$11)-F97)/(E97*(1-'Discount Slabs'!$B$11)))</f>
        <v>0.28215353938185445</v>
      </c>
      <c r="I97" s="21">
        <f>SUMIFS(Orders!$L$5:$L$504,Orders!$J$5:$J$504,A97,Orders!$W$5:$W$504,"Won")</f>
        <v>0</v>
      </c>
      <c r="J97" s="27">
        <f>SUMIFS(Orders!$Q$5:$Q$504,Orders!$J$5:$J$504,A97,Orders!$W$5:$W$504,"Won")</f>
        <v>0</v>
      </c>
    </row>
    <row r="98" spans="1:10" hidden="1" x14ac:dyDescent="0.3">
      <c r="A98" s="21">
        <v>99</v>
      </c>
      <c r="B98" s="32" t="s">
        <v>276</v>
      </c>
      <c r="C98" s="31" t="s">
        <v>284</v>
      </c>
      <c r="D98" s="31" t="s">
        <v>285</v>
      </c>
      <c r="E98" s="27">
        <v>295</v>
      </c>
      <c r="F98" s="16">
        <v>180</v>
      </c>
      <c r="G98" s="28">
        <f t="shared" si="0"/>
        <v>0.38983050847457629</v>
      </c>
      <c r="H98" s="28">
        <f>IF(F98="","",(E98*(1-'Discount Slabs'!$B$11)-F98)/(E98*(1-'Discount Slabs'!$B$11)))</f>
        <v>0.28215353938185445</v>
      </c>
      <c r="I98" s="21">
        <f>SUMIFS(Orders!$L$5:$L$504,Orders!$J$5:$J$504,A98,Orders!$W$5:$W$504,"Won")</f>
        <v>0</v>
      </c>
      <c r="J98" s="27">
        <f>SUMIFS(Orders!$Q$5:$Q$504,Orders!$J$5:$J$504,A98,Orders!$W$5:$W$504,"Won")</f>
        <v>0</v>
      </c>
    </row>
    <row r="99" spans="1:10" hidden="1" x14ac:dyDescent="0.3">
      <c r="A99" s="21">
        <v>100</v>
      </c>
      <c r="B99" s="32" t="s">
        <v>277</v>
      </c>
      <c r="C99" s="31" t="s">
        <v>284</v>
      </c>
      <c r="D99" s="31" t="s">
        <v>285</v>
      </c>
      <c r="E99" s="27">
        <v>295</v>
      </c>
      <c r="F99" s="16">
        <v>180</v>
      </c>
      <c r="G99" s="28">
        <f t="shared" si="0"/>
        <v>0.38983050847457629</v>
      </c>
      <c r="H99" s="28">
        <f>IF(F99="","",(E99*(1-'Discount Slabs'!$B$11)-F99)/(E99*(1-'Discount Slabs'!$B$11)))</f>
        <v>0.28215353938185445</v>
      </c>
      <c r="I99" s="21">
        <f>SUMIFS(Orders!$L$5:$L$504,Orders!$J$5:$J$504,A99,Orders!$W$5:$W$504,"Won")</f>
        <v>0</v>
      </c>
      <c r="J99" s="27">
        <f>SUMIFS(Orders!$Q$5:$Q$504,Orders!$J$5:$J$504,A99,Orders!$W$5:$W$504,"Won")</f>
        <v>0</v>
      </c>
    </row>
    <row r="100" spans="1:10" hidden="1" x14ac:dyDescent="0.3">
      <c r="A100" s="21">
        <v>101</v>
      </c>
      <c r="B100" s="32" t="s">
        <v>278</v>
      </c>
      <c r="C100" s="31" t="s">
        <v>146</v>
      </c>
      <c r="D100" s="31" t="s">
        <v>286</v>
      </c>
      <c r="E100" s="27">
        <v>595</v>
      </c>
      <c r="F100" s="16">
        <v>350</v>
      </c>
      <c r="G100" s="28">
        <f t="shared" si="0"/>
        <v>0.41176470588235292</v>
      </c>
      <c r="H100" s="28">
        <f>IF(F100="","",(E100*(1-'Discount Slabs'!$B$11)-F100)/(E100*(1-'Discount Slabs'!$B$11)))</f>
        <v>0.30795847750865052</v>
      </c>
      <c r="I100" s="21">
        <f>SUMIFS(Orders!$L$5:$L$504,Orders!$J$5:$J$504,A100,Orders!$W$5:$W$504,"Won")</f>
        <v>0</v>
      </c>
      <c r="J100" s="27">
        <f>SUMIFS(Orders!$Q$5:$Q$504,Orders!$J$5:$J$504,A100,Orders!$W$5:$W$504,"Won")</f>
        <v>0</v>
      </c>
    </row>
    <row r="101" spans="1:10" x14ac:dyDescent="0.3">
      <c r="A101" s="21">
        <v>102</v>
      </c>
      <c r="B101" s="32" t="s">
        <v>280</v>
      </c>
      <c r="C101" s="31" t="s">
        <v>283</v>
      </c>
      <c r="D101" s="31" t="s">
        <v>286</v>
      </c>
      <c r="E101" s="27">
        <v>390</v>
      </c>
      <c r="F101" s="16">
        <v>190</v>
      </c>
      <c r="G101" s="28">
        <f t="shared" si="0"/>
        <v>0.51282051282051277</v>
      </c>
      <c r="H101" s="28">
        <f>IF(F101="","",(E101*(1-'Discount Slabs'!$B$11)-F101)/(E101*(1-'Discount Slabs'!$B$11)))</f>
        <v>0.42684766214177977</v>
      </c>
      <c r="I101" s="21">
        <f>SUMIFS(Orders!$L$5:$L$504,Orders!$J$5:$J$504,A101,Orders!$W$5:$W$504,"Won")</f>
        <v>0</v>
      </c>
      <c r="J101" s="27">
        <f>SUMIFS(Orders!$Q$5:$Q$504,Orders!$J$5:$J$504,A101,Orders!$W$5:$W$504,"Won")</f>
        <v>0</v>
      </c>
    </row>
    <row r="102" spans="1:10" x14ac:dyDescent="0.3">
      <c r="A102" s="21">
        <v>103</v>
      </c>
      <c r="B102" s="32" t="s">
        <v>279</v>
      </c>
      <c r="C102" s="31" t="s">
        <v>283</v>
      </c>
      <c r="D102" s="31" t="s">
        <v>286</v>
      </c>
      <c r="E102" s="27">
        <v>390</v>
      </c>
      <c r="F102" s="16">
        <v>190</v>
      </c>
      <c r="G102" s="28">
        <f t="shared" si="0"/>
        <v>0.51282051282051277</v>
      </c>
      <c r="H102" s="28">
        <f>IF(F102="","",(E102*(1-'Discount Slabs'!$B$11)-F102)/(E102*(1-'Discount Slabs'!$B$11)))</f>
        <v>0.42684766214177977</v>
      </c>
      <c r="I102" s="21">
        <f>SUMIFS(Orders!$L$5:$L$504,Orders!$J$5:$J$504,A102,Orders!$W$5:$W$504,"Won")</f>
        <v>0</v>
      </c>
      <c r="J102" s="27">
        <f>SUMIFS(Orders!$Q$5:$Q$504,Orders!$J$5:$J$504,A102,Orders!$W$5:$W$504,"Won")</f>
        <v>0</v>
      </c>
    </row>
    <row r="103" spans="1:10" hidden="1" x14ac:dyDescent="0.3">
      <c r="A103" s="21">
        <v>104</v>
      </c>
      <c r="B103" s="32" t="s">
        <v>281</v>
      </c>
      <c r="C103" s="31" t="s">
        <v>152</v>
      </c>
      <c r="D103" s="31" t="s">
        <v>287</v>
      </c>
      <c r="E103" s="27">
        <v>125</v>
      </c>
      <c r="F103" s="16">
        <v>70</v>
      </c>
      <c r="G103" s="28">
        <f t="shared" si="0"/>
        <v>0.44</v>
      </c>
      <c r="H103" s="28">
        <f>IF(F103="","",(E103*(1-'Discount Slabs'!$B$11)-F103)/(E103*(1-'Discount Slabs'!$B$11)))</f>
        <v>0.3411764705882353</v>
      </c>
      <c r="I103" s="21">
        <f>SUMIFS(Orders!$L$5:$L$504,Orders!$J$5:$J$504,A103,Orders!$W$5:$W$504,"Won")</f>
        <v>0</v>
      </c>
      <c r="J103" s="27">
        <f>SUMIFS(Orders!$Q$5:$Q$504,Orders!$J$5:$J$504,A103,Orders!$W$5:$W$504,"Won")</f>
        <v>0</v>
      </c>
    </row>
    <row r="104" spans="1:10" hidden="1" x14ac:dyDescent="0.3">
      <c r="A104" s="21">
        <v>105</v>
      </c>
      <c r="B104" s="32" t="s">
        <v>282</v>
      </c>
      <c r="C104" s="31" t="s">
        <v>152</v>
      </c>
      <c r="D104" s="31" t="s">
        <v>287</v>
      </c>
      <c r="E104" s="27">
        <v>100</v>
      </c>
      <c r="F104" s="16">
        <v>60</v>
      </c>
      <c r="G104" s="28">
        <f t="shared" si="0"/>
        <v>0.4</v>
      </c>
      <c r="H104" s="28">
        <f>IF(F104="","",(E104*(1-'Discount Slabs'!$B$11)-F104)/(E104*(1-'Discount Slabs'!$B$11)))</f>
        <v>0.29411764705882354</v>
      </c>
      <c r="I104" s="21">
        <f>SUMIFS(Orders!$L$5:$L$504,Orders!$J$5:$J$504,A104,Orders!$W$5:$W$504,"Won")</f>
        <v>0</v>
      </c>
      <c r="J104" s="27">
        <f>SUMIFS(Orders!$Q$5:$Q$504,Orders!$J$5:$J$504,A104,Orders!$W$5:$W$504,"Won")</f>
        <v>0</v>
      </c>
    </row>
    <row r="105" spans="1:10" hidden="1" x14ac:dyDescent="0.3">
      <c r="A105" s="21">
        <v>106</v>
      </c>
      <c r="B105" s="34" t="s">
        <v>236</v>
      </c>
      <c r="C105" s="21" t="s">
        <v>200</v>
      </c>
      <c r="D105" s="21" t="s">
        <v>201</v>
      </c>
      <c r="E105" s="27">
        <v>220</v>
      </c>
      <c r="F105" s="16">
        <v>390</v>
      </c>
      <c r="G105" s="28">
        <f t="shared" si="0"/>
        <v>-0.77272727272727271</v>
      </c>
      <c r="H105" s="28">
        <f>IF(F105="","",(E105*(1-'Discount Slabs'!$B$11)-F105)/(E105*(1-'Discount Slabs'!$B$11)))</f>
        <v>-1.0855614973262031</v>
      </c>
      <c r="I105" s="21">
        <f>SUMIFS(Orders!$L$5:$L$504,Orders!$J$5:$J$504,A105,Orders!$W$5:$W$504,"Won")</f>
        <v>0</v>
      </c>
      <c r="J105" s="27">
        <f>SUMIFS(Orders!$Q$5:$Q$504,Orders!$J$5:$J$504,A105,Orders!$W$5:$W$504,"Won")</f>
        <v>0</v>
      </c>
    </row>
    <row r="106" spans="1:10" hidden="1" x14ac:dyDescent="0.3">
      <c r="A106" s="21">
        <v>107</v>
      </c>
      <c r="B106" s="34" t="s">
        <v>237</v>
      </c>
      <c r="C106" s="21" t="s">
        <v>200</v>
      </c>
      <c r="D106" s="21" t="s">
        <v>201</v>
      </c>
      <c r="E106" s="27">
        <v>220</v>
      </c>
      <c r="F106" s="16">
        <v>390</v>
      </c>
      <c r="G106" s="28">
        <f t="shared" si="0"/>
        <v>-0.77272727272727271</v>
      </c>
      <c r="H106" s="28">
        <f>IF(F106="","",(E106*(1-'Discount Slabs'!$B$11)-F106)/(E106*(1-'Discount Slabs'!$B$11)))</f>
        <v>-1.0855614973262031</v>
      </c>
      <c r="I106" s="21">
        <f>SUMIFS(Orders!$L$5:$L$504,Orders!$J$5:$J$504,A106,Orders!$W$5:$W$504,"Won")</f>
        <v>0</v>
      </c>
      <c r="J106" s="27">
        <f>SUMIFS(Orders!$Q$5:$Q$504,Orders!$J$5:$J$504,A106,Orders!$W$5:$W$504,"Won")</f>
        <v>0</v>
      </c>
    </row>
    <row r="107" spans="1:10" hidden="1" x14ac:dyDescent="0.3">
      <c r="A107" s="21">
        <v>108</v>
      </c>
      <c r="B107" s="34" t="s">
        <v>238</v>
      </c>
      <c r="C107" s="21" t="s">
        <v>200</v>
      </c>
      <c r="D107" s="21" t="s">
        <v>201</v>
      </c>
      <c r="E107" s="27">
        <v>220</v>
      </c>
      <c r="F107" s="16">
        <v>390</v>
      </c>
      <c r="G107" s="28">
        <f t="shared" si="0"/>
        <v>-0.77272727272727271</v>
      </c>
      <c r="H107" s="28">
        <f>IF(F107="","",(E107*(1-'Discount Slabs'!$B$11)-F107)/(E107*(1-'Discount Slabs'!$B$11)))</f>
        <v>-1.0855614973262031</v>
      </c>
      <c r="I107" s="21">
        <f>SUMIFS(Orders!$L$5:$L$504,Orders!$J$5:$J$504,A107,Orders!$W$5:$W$504,"Won")</f>
        <v>0</v>
      </c>
      <c r="J107" s="27">
        <f>SUMIFS(Orders!$Q$5:$Q$504,Orders!$J$5:$J$504,A107,Orders!$W$5:$W$504,"Won")</f>
        <v>0</v>
      </c>
    </row>
    <row r="108" spans="1:10" hidden="1" x14ac:dyDescent="0.3">
      <c r="A108" s="21">
        <v>109</v>
      </c>
      <c r="B108" s="34" t="s">
        <v>239</v>
      </c>
      <c r="C108" s="21" t="s">
        <v>200</v>
      </c>
      <c r="D108" s="21" t="s">
        <v>201</v>
      </c>
      <c r="E108" s="27">
        <v>220</v>
      </c>
      <c r="F108" s="16">
        <v>390</v>
      </c>
      <c r="G108" s="28">
        <f t="shared" si="0"/>
        <v>-0.77272727272727271</v>
      </c>
      <c r="H108" s="28">
        <f>IF(F108="","",(E108*(1-'Discount Slabs'!$B$11)-F108)/(E108*(1-'Discount Slabs'!$B$11)))</f>
        <v>-1.0855614973262031</v>
      </c>
      <c r="I108" s="21">
        <f>SUMIFS(Orders!$L$5:$L$504,Orders!$J$5:$J$504,A108,Orders!$W$5:$W$504,"Won")</f>
        <v>0</v>
      </c>
      <c r="J108" s="27">
        <f>SUMIFS(Orders!$Q$5:$Q$504,Orders!$J$5:$J$504,A108,Orders!$W$5:$W$504,"Won")</f>
        <v>0</v>
      </c>
    </row>
  </sheetData>
  <autoFilter ref="A4:J108" xr:uid="{00000000-0009-0000-0000-000005000000}">
    <filterColumn colId="2">
      <filters>
        <filter val="METAL GIFTS"/>
      </filters>
    </filterColumn>
    <sortState xmlns:xlrd2="http://schemas.microsoft.com/office/spreadsheetml/2017/richdata2" ref="A5:J108">
      <sortCondition ref="A4:A108"/>
    </sortState>
  </autoFilter>
  <phoneticPr fontId="10" type="noConversion"/>
  <conditionalFormatting sqref="H5:H108">
    <cfRule type="cellIs" dxfId="1" priority="3" operator="lessThan">
      <formula>0.2</formula>
    </cfRule>
  </conditionalFormatting>
  <conditionalFormatting sqref="H105:H108">
    <cfRule type="cellIs" dxfId="0" priority="1" operator="lessThan">
      <formula>0.2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How to use</vt:lpstr>
      <vt:lpstr>Orders</vt:lpstr>
      <vt:lpstr>Quote Calculator</vt:lpstr>
      <vt:lpstr>Review</vt:lpstr>
      <vt:lpstr>Discount Slabs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a83913</cp:lastModifiedBy>
  <cp:revision>0</cp:revision>
  <dcterms:created xsi:type="dcterms:W3CDTF">2026-10-21T12:01:15Z</dcterms:created>
  <dcterms:modified xsi:type="dcterms:W3CDTF">2026-10-27T10:00:41Z</dcterms:modified>
  <dc:language>en-US</dc:language>
</cp:coreProperties>
</file>